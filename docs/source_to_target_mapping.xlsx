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Patient_Map" sheetId="3" state="visible" r:id="rId5"/>
    <sheet name="Encounter_Map" sheetId="4" state="visible" r:id="rId6"/>
    <sheet name="Condition_Map" sheetId="5" state="visible" r:id="rId7"/>
    <sheet name="Value_Maps" sheetId="6" state="visible" r:id="rId8"/>
    <sheet name="Validation_Rules" sheetId="7" state="visible" r:id="rId9"/>
    <sheet name="Decisions_Log" sheetId="8" state="visible" r:id="rId10"/>
  </sheets>
  <definedNames>
    <definedName function="false" hidden="true" localSheetId="4" name="_xlnm._FilterDatabase" vbProcedure="false">Condition_Map!$A$1:$L$14</definedName>
    <definedName function="false" hidden="true" localSheetId="7" name="_xlnm._FilterDatabase" vbProcedure="false">Decisions_Log!$A$1:$E$8</definedName>
    <definedName function="false" hidden="true" localSheetId="3" name="_xlnm._FilterDatabase" vbProcedure="false">Encounter_Map!$A$1:$L$18</definedName>
    <definedName function="false" hidden="true" localSheetId="2" name="_xlnm._FilterDatabase" vbProcedure="false">Patient_Map!$A$1:$L$30</definedName>
    <definedName function="false" hidden="true" localSheetId="6" name="_xlnm._FilterDatabase" vbProcedure="false">Validation_Rules!$A$1:$G$20</definedName>
    <definedName function="false" hidden="true" localSheetId="5" name="_xlnm._FilterDatabase" vbProcedure="false">Value_Maps!$A$1:$F$25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<sst xmlns="http://schemas.openxmlformats.org/spreadsheetml/2006/main" count="991" uniqueCount="529">
  <si>
    <t xml:space="preserve">Source-to-Target Mapping</t>
  </si>
  <si>
    <t xml:space="preserve">Project</t>
  </si>
  <si>
    <t xml:space="preserve">Legacy-to-FHIR Clinic Data Migration &amp; Reconciliation Pipeline</t>
  </si>
  <si>
    <t xml:space="preserve">Source system</t>
  </si>
  <si>
    <t xml:space="preserve">Legacy clinic export (Synthea CSV, North Carolina, seed 12345) staged in SQL Server: FhirMigration.stg.*</t>
  </si>
  <si>
    <t xml:space="preserve">Target system</t>
  </si>
  <si>
    <t xml:space="preserve">FHIR R4 server (HAPI public test server, https://hapi.fhir.org/baseR4). Synthetic data only, no PHI.</t>
  </si>
  <si>
    <t xml:space="preserve">Version / status</t>
  </si>
  <si>
    <t xml:space="preserve">v0.1 DRAFT, for review</t>
  </si>
  <si>
    <t xml:space="preserve">Prepared by</t>
  </si>
  <si>
    <t xml:space="preserve">Kepha</t>
  </si>
  <si>
    <t xml:space="preserve">Reviewed / signed off by</t>
  </si>
  <si>
    <t xml:space="preserve">(pending)</t>
  </si>
  <si>
    <t xml:space="preserve">What this workbook is</t>
  </si>
  <si>
    <t xml:space="preserve">Purpose</t>
  </si>
  <si>
    <t xml:space="preserve">Defines, field by field, how each legacy column becomes a FHIR element, which rule transforms it, and what happens when the value is bad. The transform script (src/transform.py) must follow this document exactly. In a real migration this is reviewed and signed off BEFORE transform code is written.</t>
  </si>
  <si>
    <t xml:space="preserve">Tabs</t>
  </si>
  <si>
    <t xml:space="preserve">Patient_Map / Encounter_Map / Condition_Map</t>
  </si>
  <si>
    <t xml:space="preserve">One row per source column. Every source column appears, including the ones we deliberately do NOT migrate, so nothing is silently lost.</t>
  </si>
  <si>
    <t xml:space="preserve">Value_Maps</t>
  </si>
  <si>
    <t xml:space="preserve">Code crosswalks: legacy value -&gt; FHIR code (e.g. M -&gt; male).</t>
  </si>
  <si>
    <t xml:space="preserve">Validation_Rules</t>
  </si>
  <si>
    <t xml:space="preserve">Every check the pipeline runs, its action (Reject / Fix / Flag), and which planted error it is designed to catch.</t>
  </si>
  <si>
    <t xml:space="preserve">Decisions_Log</t>
  </si>
  <si>
    <t xml:space="preserve">Open questions and the choice made. Edit the blue cells as you decide.</t>
  </si>
  <si>
    <t xml:space="preserve">Summary</t>
  </si>
  <si>
    <t xml:space="preserve">Live counts of mapped vs. not-migrated columns (formulas).</t>
  </si>
  <si>
    <t xml:space="preserve">Status values</t>
  </si>
  <si>
    <t xml:space="preserve">Mapped</t>
  </si>
  <si>
    <t xml:space="preserve">Source value is copied/transformed into a FHIR element.</t>
  </si>
  <si>
    <t xml:space="preserve">Constant</t>
  </si>
  <si>
    <t xml:space="preserve">FHIR element filled with a fixed value (no source column), e.g. the project tag.</t>
  </si>
  <si>
    <t xml:space="preserve">Derived</t>
  </si>
  <si>
    <t xml:space="preserve">FHIR element calculated from one or more source columns (e.g. status from STOP date).</t>
  </si>
  <si>
    <t xml:space="preserve">Not migrated</t>
  </si>
  <si>
    <t xml:space="preserve">Deliberately left behind (data minimization, financial, or out of scope). The reason is in 'Why / notes'.</t>
  </si>
  <si>
    <t xml:space="preserve">Deferred</t>
  </si>
  <si>
    <t xml:space="preserve">Wanted, but planned for a later phase.</t>
  </si>
  <si>
    <t xml:space="preserve">Action values (Validation_Rules)</t>
  </si>
  <si>
    <t xml:space="preserve">Reject</t>
  </si>
  <si>
    <t xml:space="preserve">Record is NOT loaded; written to the rejected_records table with the rule ID and reason.</t>
  </si>
  <si>
    <t xml:space="preserve">Fix</t>
  </si>
  <si>
    <t xml:space="preserve">Value is corrected automatically (e.g. date format); the fix is logged.</t>
  </si>
  <si>
    <t xml:space="preserve">Flag</t>
  </si>
  <si>
    <t xml:space="preserve">Record IS loaded, but listed on the data-quality exceptions report for staff follow-up.</t>
  </si>
  <si>
    <t xml:space="preserve">Colour key</t>
  </si>
  <si>
    <t xml:space="preserve">Blue text</t>
  </si>
  <si>
    <t xml:space="preserve">Cells you are expected to review or edit (decisions, owners, status).</t>
  </si>
  <si>
    <t xml:space="preserve">Table</t>
  </si>
  <si>
    <t xml:space="preserve">Total rows</t>
  </si>
  <si>
    <t xml:space="preserve">Patient</t>
  </si>
  <si>
    <t xml:space="preserve">Encounter</t>
  </si>
  <si>
    <t xml:space="preserve">Condition</t>
  </si>
  <si>
    <t xml:space="preserve">All tables</t>
  </si>
  <si>
    <t xml:space="preserve">Validation rules</t>
  </si>
  <si>
    <t xml:space="preserve">Reject (cascade)</t>
  </si>
  <si>
    <t xml:space="preserve">Total rules</t>
  </si>
  <si>
    <t xml:space="preserve">Rules that catch a planted error</t>
  </si>
  <si>
    <t xml:space="preserve">These rules cover planted errors 1-9 (see answer key)</t>
  </si>
  <si>
    <t xml:space="preserve">Map ID</t>
  </si>
  <si>
    <t xml:space="preserve">Source table</t>
  </si>
  <si>
    <t xml:space="preserve">Source column</t>
  </si>
  <si>
    <t xml:space="preserve">Sample value (from your data)</t>
  </si>
  <si>
    <t xml:space="preserve">Status</t>
  </si>
  <si>
    <t xml:space="preserve">Target FHIR resource</t>
  </si>
  <si>
    <t xml:space="preserve">Target FHIR element</t>
  </si>
  <si>
    <t xml:space="preserve">FHIR data type</t>
  </si>
  <si>
    <t xml:space="preserve">Required in FHIR?</t>
  </si>
  <si>
    <t xml:space="preserve">Transformation rule</t>
  </si>
  <si>
    <t xml:space="preserve">Validation rule ID</t>
  </si>
  <si>
    <t xml:space="preserve">Why / notes</t>
  </si>
  <si>
    <t xml:space="preserve">P01</t>
  </si>
  <si>
    <t xml:space="preserve">patients</t>
  </si>
  <si>
    <t xml:space="preserve">Id</t>
  </si>
  <si>
    <t xml:space="preserve">d545798e-09a4-ef89-...</t>
  </si>
  <si>
    <t xml:space="preserve">identifier[0].value</t>
  </si>
  <si>
    <t xml:space="preserve">Identifier</t>
  </si>
  <si>
    <t xml:space="preserve">No</t>
  </si>
  <si>
    <t xml:space="preserve">Copy as-is. identifier[0].system = urn:fhirmigration:legacy-patient-id. The FHIR server assigns its own Patient.id; the legacy Id is kept here so every record can be traced back to its source row.</t>
  </si>
  <si>
    <t xml:space="preserve">R-P05</t>
  </si>
  <si>
    <t xml:space="preserve">Keep legacy IDs in a crosswalk table (legacy Id -&gt; new FHIR id) for reconciliation and for linking encounters/conditions.</t>
  </si>
  <si>
    <t xml:space="preserve">P02</t>
  </si>
  <si>
    <t xml:space="preserve">BIRTHDATE</t>
  </si>
  <si>
    <t xml:space="preserve">1998-02-08</t>
  </si>
  <si>
    <t xml:space="preserve">birthDate</t>
  </si>
  <si>
    <t xml:space="preserve">date (YYYY-MM-DD)</t>
  </si>
  <si>
    <t xml:space="preserve">No*</t>
  </si>
  <si>
    <t xml:space="preserve">Accept YYYY-MM-DD as-is. Convert MM/DD/YYYY -&gt; YYYY-MM-DD. Blank, unparseable or future date -&gt; reject.</t>
  </si>
  <si>
    <t xml:space="preserve">R-P01, R-P02, R-P06</t>
  </si>
  <si>
    <t xml:space="preserve">*Optional in base FHIR but required by our business rules: a patient cannot be safely identified or matched without DOB.</t>
  </si>
  <si>
    <t xml:space="preserve">P03</t>
  </si>
  <si>
    <t xml:space="preserve">DEATHDATE</t>
  </si>
  <si>
    <t xml:space="preserve">2019-08-25</t>
  </si>
  <si>
    <t xml:space="preserve">deceasedDateTime</t>
  </si>
  <si>
    <t xml:space="preserve">dateTime</t>
  </si>
  <si>
    <t xml:space="preserve">If present, copy (YYYY-MM-DD). If blank, omit the element (patient living).</t>
  </si>
  <si>
    <t xml:space="preserve">R-P06</t>
  </si>
  <si>
    <t xml:space="preserve">Must not be earlier than BIRTHDATE.</t>
  </si>
  <si>
    <t xml:space="preserve">P04</t>
  </si>
  <si>
    <t xml:space="preserve">PREFIX</t>
  </si>
  <si>
    <t xml:space="preserve">Mrs.</t>
  </si>
  <si>
    <t xml:space="preserve">name[0].prefix[0]</t>
  </si>
  <si>
    <t xml:space="preserve">string</t>
  </si>
  <si>
    <t xml:space="preserve">Copy as-is if present.</t>
  </si>
  <si>
    <t xml:space="preserve">P05</t>
  </si>
  <si>
    <t xml:space="preserve">FIRST</t>
  </si>
  <si>
    <t xml:space="preserve">Ashely524</t>
  </si>
  <si>
    <t xml:space="preserve">name[0].given[0]</t>
  </si>
  <si>
    <t xml:space="preserve">Copy as-is. name[0].use = official. Blank -&gt; reject.</t>
  </si>
  <si>
    <t xml:space="preserve">R-P07</t>
  </si>
  <si>
    <t xml:space="preserve">Synthea adds digits to names on purpose (marks them as fake). Kept as-is; see Decisions_Log D1.</t>
  </si>
  <si>
    <t xml:space="preserve">P06</t>
  </si>
  <si>
    <t xml:space="preserve">MIDDLE</t>
  </si>
  <si>
    <t xml:space="preserve">Maybelle917</t>
  </si>
  <si>
    <t xml:space="preserve">name[0].given[1]</t>
  </si>
  <si>
    <t xml:space="preserve">Copy as-is if present (second given name).</t>
  </si>
  <si>
    <t xml:space="preserve">P07</t>
  </si>
  <si>
    <t xml:space="preserve">LAST</t>
  </si>
  <si>
    <t xml:space="preserve">Hickle134</t>
  </si>
  <si>
    <t xml:space="preserve">name[0].family</t>
  </si>
  <si>
    <t xml:space="preserve">Copy as-is. Blank -&gt; reject.</t>
  </si>
  <si>
    <t xml:space="preserve">*US Core requires a family or given name.</t>
  </si>
  <si>
    <t xml:space="preserve">P08</t>
  </si>
  <si>
    <t xml:space="preserve">SUFFIX</t>
  </si>
  <si>
    <t xml:space="preserve">(blank)</t>
  </si>
  <si>
    <t xml:space="preserve">name[0].suffix[0]</t>
  </si>
  <si>
    <t xml:space="preserve">P09</t>
  </si>
  <si>
    <t xml:space="preserve">MAIDEN</t>
  </si>
  <si>
    <t xml:space="preserve">Brekke496</t>
  </si>
  <si>
    <t xml:space="preserve">name[1].family</t>
  </si>
  <si>
    <t xml:space="preserve">If present, add a second name with use = maiden and family = MAIDEN.</t>
  </si>
  <si>
    <t xml:space="preserve">Preserves name history, which helps patient matching.</t>
  </si>
  <si>
    <t xml:space="preserve">P10</t>
  </si>
  <si>
    <t xml:space="preserve">MARITAL</t>
  </si>
  <si>
    <t xml:space="preserve">M</t>
  </si>
  <si>
    <t xml:space="preserve">maritalStatus.coding[0]</t>
  </si>
  <si>
    <t xml:space="preserve">CodeableConcept</t>
  </si>
  <si>
    <t xml:space="preserve">Look up in Value_Maps (Marital). Blank -&gt; omit. Unknown code -&gt; flag and omit.</t>
  </si>
  <si>
    <t xml:space="preserve">R-P08</t>
  </si>
  <si>
    <t xml:space="preserve">Code system http://terminology.hl7.org/CodeSystem/v3-MaritalStatus</t>
  </si>
  <si>
    <t xml:space="preserve">P11</t>
  </si>
  <si>
    <t xml:space="preserve">GENDER</t>
  </si>
  <si>
    <t xml:space="preserve">F</t>
  </si>
  <si>
    <t xml:space="preserve">gender</t>
  </si>
  <si>
    <t xml:space="preserve">code</t>
  </si>
  <si>
    <t xml:space="preserve">Look up in Value_Maps (Gender): M -&gt; male, F -&gt; female. Anything else -&gt; reject.</t>
  </si>
  <si>
    <t xml:space="preserve">R-P03</t>
  </si>
  <si>
    <t xml:space="preserve">*Required by our business rules (needed for clinical quality measures).</t>
  </si>
  <si>
    <t xml:space="preserve">P12</t>
  </si>
  <si>
    <t xml:space="preserve">ADDRESS</t>
  </si>
  <si>
    <t xml:space="preserve">873 Mayer Avenue</t>
  </si>
  <si>
    <t xml:space="preserve">address[0].line[0]</t>
  </si>
  <si>
    <t xml:space="preserve">Copy as-is. Blank -&gt; load but flag as incomplete. address[0].use = home.</t>
  </si>
  <si>
    <t xml:space="preserve">R-P04</t>
  </si>
  <si>
    <t xml:space="preserve">Missing address blocks mail-outs and patient matching but should not block care data.</t>
  </si>
  <si>
    <t xml:space="preserve">P13</t>
  </si>
  <si>
    <t xml:space="preserve">CITY</t>
  </si>
  <si>
    <t xml:space="preserve">Gastonia</t>
  </si>
  <si>
    <t xml:space="preserve">address[0].city</t>
  </si>
  <si>
    <t xml:space="preserve">Copy as-is.</t>
  </si>
  <si>
    <t xml:space="preserve">P14</t>
  </si>
  <si>
    <t xml:space="preserve">STATE</t>
  </si>
  <si>
    <t xml:space="preserve">North Carolina</t>
  </si>
  <si>
    <t xml:space="preserve">address[0].state</t>
  </si>
  <si>
    <t xml:space="preserve">Convert full name to 2-letter USPS code (North Carolina -&gt; NC). See Value_Maps (State).</t>
  </si>
  <si>
    <t xml:space="preserve">US Core recommends USPS state codes.</t>
  </si>
  <si>
    <t xml:space="preserve">P15</t>
  </si>
  <si>
    <t xml:space="preserve">COUNTY</t>
  </si>
  <si>
    <t xml:space="preserve">Gaston County</t>
  </si>
  <si>
    <t xml:space="preserve">address[0].district</t>
  </si>
  <si>
    <t xml:space="preserve">FHIR uses 'district' for county.</t>
  </si>
  <si>
    <t xml:space="preserve">P16</t>
  </si>
  <si>
    <t xml:space="preserve">ZIP</t>
  </si>
  <si>
    <t xml:space="preserve">28054</t>
  </si>
  <si>
    <t xml:space="preserve">address[0].postalCode</t>
  </si>
  <si>
    <t xml:space="preserve">Copy as text (keep leading zeros).</t>
  </si>
  <si>
    <t xml:space="preserve">Never store ZIP as a number: 02134 would become 2134.</t>
  </si>
  <si>
    <t xml:space="preserve">P17</t>
  </si>
  <si>
    <t xml:space="preserve">(none)</t>
  </si>
  <si>
    <t xml:space="preserve">address[0].country</t>
  </si>
  <si>
    <t xml:space="preserve">Constant: US</t>
  </si>
  <si>
    <t xml:space="preserve">P18</t>
  </si>
  <si>
    <t xml:space="preserve">FIPS</t>
  </si>
  <si>
    <t xml:space="preserve">37071</t>
  </si>
  <si>
    <t xml:space="preserve">County FIPS code; not needed by the clinic. Can be re-derived from county.</t>
  </si>
  <si>
    <t xml:space="preserve">P19</t>
  </si>
  <si>
    <t xml:space="preserve">LAT / LON</t>
  </si>
  <si>
    <t xml:space="preserve">35.2128 / -81.3974</t>
  </si>
  <si>
    <t xml:space="preserve">Precise home coordinates are sensitive location data and not needed (data minimization).</t>
  </si>
  <si>
    <t xml:space="preserve">P20</t>
  </si>
  <si>
    <t xml:space="preserve">RACE</t>
  </si>
  <si>
    <t xml:space="preserve">white</t>
  </si>
  <si>
    <t xml:space="preserve">extension: us-core-race</t>
  </si>
  <si>
    <t xml:space="preserve">Extension</t>
  </si>
  <si>
    <t xml:space="preserve">Phase 2: map to OMB race codes in the US Core race extension.</t>
  </si>
  <si>
    <t xml:space="preserve">Important for health-equity reporting; needs the US Core extension structure. See D3.</t>
  </si>
  <si>
    <t xml:space="preserve">P21</t>
  </si>
  <si>
    <t xml:space="preserve">ETHNICITY</t>
  </si>
  <si>
    <t xml:space="preserve">nonhispanic</t>
  </si>
  <si>
    <t xml:space="preserve">extension: us-core-ethnicity</t>
  </si>
  <si>
    <t xml:space="preserve">Phase 2: map to OMB ethnicity codes in the US Core ethnicity extension.</t>
  </si>
  <si>
    <t xml:space="preserve">See D3.</t>
  </si>
  <si>
    <t xml:space="preserve">P22</t>
  </si>
  <si>
    <t xml:space="preserve">BIRTHPLACE</t>
  </si>
  <si>
    <t xml:space="preserve">Durham  North Carolina  US</t>
  </si>
  <si>
    <t xml:space="preserve">Not needed for care at the clinic.</t>
  </si>
  <si>
    <t xml:space="preserve">P23</t>
  </si>
  <si>
    <t xml:space="preserve">SSN</t>
  </si>
  <si>
    <t xml:space="preserve">(dropped in staging)</t>
  </si>
  <si>
    <t xml:space="preserve">Data minimization (HIPAA): never migrate identifiers the new system doesn't need. Dropped before staging.</t>
  </si>
  <si>
    <t xml:space="preserve">P24</t>
  </si>
  <si>
    <t xml:space="preserve">DRIVERS</t>
  </si>
  <si>
    <t xml:space="preserve">Data minimization. Dropped before staging.</t>
  </si>
  <si>
    <t xml:space="preserve">P25</t>
  </si>
  <si>
    <t xml:space="preserve">PASSPORT</t>
  </si>
  <si>
    <t xml:space="preserve">P26</t>
  </si>
  <si>
    <t xml:space="preserve">HEALTHCARE_EXPENSES</t>
  </si>
  <si>
    <t xml:space="preserve">404910.07</t>
  </si>
  <si>
    <t xml:space="preserve">Financial summary, not clinical data. Out of scope.</t>
  </si>
  <si>
    <t xml:space="preserve">P27</t>
  </si>
  <si>
    <t xml:space="preserve">HEALTHCARE_COVERAGE</t>
  </si>
  <si>
    <t xml:space="preserve">97853.24</t>
  </si>
  <si>
    <t xml:space="preserve">P28</t>
  </si>
  <si>
    <t xml:space="preserve">INCOME</t>
  </si>
  <si>
    <t xml:space="preserve">41915</t>
  </si>
  <si>
    <t xml:space="preserve">Sensitive financial data; not needed (data minimization).</t>
  </si>
  <si>
    <t xml:space="preserve">P29</t>
  </si>
  <si>
    <t xml:space="preserve">meta.tag[0]</t>
  </si>
  <si>
    <t xml:space="preserve">Coding</t>
  </si>
  <si>
    <t xml:space="preserve">Constant: system urn:fhirmigration:project, code kepha-migration-2026</t>
  </si>
  <si>
    <t xml:space="preserve">Lets us find only OUR records on the shared public test server.</t>
  </si>
  <si>
    <t xml:space="preserve">E01</t>
  </si>
  <si>
    <t xml:space="preserve">encounters</t>
  </si>
  <si>
    <t xml:space="preserve">(UUID)</t>
  </si>
  <si>
    <t xml:space="preserve">Copy as-is. identifier[0].system = urn:fhirmigration:legacy-encounter-id.</t>
  </si>
  <si>
    <t xml:space="preserve">Kept for traceability and for linking conditions to their visit.</t>
  </si>
  <si>
    <t xml:space="preserve">E02</t>
  </si>
  <si>
    <t xml:space="preserve">PATIENT</t>
  </si>
  <si>
    <t xml:space="preserve">(patient UUID)</t>
  </si>
  <si>
    <t xml:space="preserve">subject</t>
  </si>
  <si>
    <t xml:space="preserve">Reference(Patient)</t>
  </si>
  <si>
    <t xml:space="preserve">Look up the legacy patient Id in the patient crosswalk -&gt; Reference(Patient/{new FHIR id}). Not found in source -&gt; reject (orphan). Patient was rejected -&gt; reject (cascade).</t>
  </si>
  <si>
    <t xml:space="preserve">R-E01, R-E04</t>
  </si>
  <si>
    <t xml:space="preserve">*A visit with no patient is meaningless; required by our rules.</t>
  </si>
  <si>
    <t xml:space="preserve">E03</t>
  </si>
  <si>
    <t xml:space="preserve">START</t>
  </si>
  <si>
    <t xml:space="preserve">2019-08-25T10:00:00Z</t>
  </si>
  <si>
    <t xml:space="preserve">period.start</t>
  </si>
  <si>
    <t xml:space="preserve">Copy as-is (ISO 8601 with time zone). Blank -&gt; reject.</t>
  </si>
  <si>
    <t xml:space="preserve">R-E05</t>
  </si>
  <si>
    <t xml:space="preserve">E04</t>
  </si>
  <si>
    <t xml:space="preserve">STOP</t>
  </si>
  <si>
    <t xml:space="preserve">2019-08-25T10:30:00Z</t>
  </si>
  <si>
    <t xml:space="preserve">period.end</t>
  </si>
  <si>
    <t xml:space="preserve">Copy as-is if present. STOP earlier than START -&gt; flag.</t>
  </si>
  <si>
    <t xml:space="preserve">R-E02</t>
  </si>
  <si>
    <t xml:space="preserve">E05</t>
  </si>
  <si>
    <t xml:space="preserve">(STOP)</t>
  </si>
  <si>
    <t xml:space="preserve">status</t>
  </si>
  <si>
    <t xml:space="preserve">Yes</t>
  </si>
  <si>
    <t xml:space="preserve">STOP present -&gt; finished; STOP blank -&gt; in-progress.</t>
  </si>
  <si>
    <t xml:space="preserve">status is REQUIRED (1..1) in FHIR R4.</t>
  </si>
  <si>
    <t xml:space="preserve">E06</t>
  </si>
  <si>
    <t xml:space="preserve">ENCOUNTERCLASS</t>
  </si>
  <si>
    <t xml:space="preserve">wellness</t>
  </si>
  <si>
    <t xml:space="preserve">class</t>
  </si>
  <si>
    <t xml:space="preserve">Look up in Value_Maps (Encounter class), e.g. wellness -&gt; AMB, emergency -&gt; EMER, inpatient -&gt; IMP. Not in the map -&gt; reject.</t>
  </si>
  <si>
    <t xml:space="preserve">R-E03</t>
  </si>
  <si>
    <t xml:space="preserve">class is REQUIRED (1..1) in FHIR R4. System http://terminology.hl7.org/CodeSystem/v3-ActCode. See D2.</t>
  </si>
  <si>
    <t xml:space="preserve">E07</t>
  </si>
  <si>
    <t xml:space="preserve">CODE</t>
  </si>
  <si>
    <t xml:space="preserve">162673000</t>
  </si>
  <si>
    <t xml:space="preserve">type[0].coding[0].code</t>
  </si>
  <si>
    <t xml:space="preserve">Copy as-is. type[0].coding[0].system = http://snomed.info/sct.</t>
  </si>
  <si>
    <t xml:space="preserve">SNOMED CT code for the kind of visit.</t>
  </si>
  <si>
    <t xml:space="preserve">E08</t>
  </si>
  <si>
    <t xml:space="preserve">DESCRIPTION</t>
  </si>
  <si>
    <t xml:space="preserve">General examination of patient (procedure)</t>
  </si>
  <si>
    <t xml:space="preserve">type[0].coding[0].display</t>
  </si>
  <si>
    <t xml:space="preserve">Copy as-is; also copy to type[0].text.</t>
  </si>
  <si>
    <t xml:space="preserve">E09</t>
  </si>
  <si>
    <t xml:space="preserve">REASONCODE</t>
  </si>
  <si>
    <t xml:space="preserve">72892002</t>
  </si>
  <si>
    <t xml:space="preserve">reasonCode[0].coding[0].code</t>
  </si>
  <si>
    <t xml:space="preserve">If present, copy; system = http://snomed.info/sct.</t>
  </si>
  <si>
    <t xml:space="preserve">Why the patient came in.</t>
  </si>
  <si>
    <t xml:space="preserve">E10</t>
  </si>
  <si>
    <t xml:space="preserve">REASONDESCRIPTION</t>
  </si>
  <si>
    <t xml:space="preserve">Normal pregnancy</t>
  </si>
  <si>
    <t xml:space="preserve">reasonCode[0].coding[0].display</t>
  </si>
  <si>
    <t xml:space="preserve">If present, copy; also copy to reasonCode[0].text.</t>
  </si>
  <si>
    <t xml:space="preserve">E11</t>
  </si>
  <si>
    <t xml:space="preserve">ORGANIZATION</t>
  </si>
  <si>
    <t xml:space="preserve">serviceProvider</t>
  </si>
  <si>
    <t xml:space="preserve">Reference(Organization)</t>
  </si>
  <si>
    <t xml:space="preserve">Phase 2: migrate Organization resources first, then link.</t>
  </si>
  <si>
    <t xml:space="preserve">Organizations are not migrated in v1 (see D4).</t>
  </si>
  <si>
    <t xml:space="preserve">E12</t>
  </si>
  <si>
    <t xml:space="preserve">PROVIDER</t>
  </si>
  <si>
    <t xml:space="preserve">participant[0].individual</t>
  </si>
  <si>
    <t xml:space="preserve">Reference(Practitioner)</t>
  </si>
  <si>
    <t xml:space="preserve">Phase 2: migrate Practitioner resources first, then link.</t>
  </si>
  <si>
    <t xml:space="preserve">See D4.</t>
  </si>
  <si>
    <t xml:space="preserve">E13</t>
  </si>
  <si>
    <t xml:space="preserve">PAYER</t>
  </si>
  <si>
    <t xml:space="preserve">Billing data belongs in Coverage/Claim resources. Out of scope for this clinical migration.</t>
  </si>
  <si>
    <t xml:space="preserve">E14</t>
  </si>
  <si>
    <t xml:space="preserve">BASE_ENCOUNTER_COST</t>
  </si>
  <si>
    <t xml:space="preserve">129.16</t>
  </si>
  <si>
    <t xml:space="preserve">Financial. Out of scope (would map to Claim / ExplanationOfBenefit).</t>
  </si>
  <si>
    <t xml:space="preserve">E15</t>
  </si>
  <si>
    <t xml:space="preserve">TOTAL_CLAIM_COST</t>
  </si>
  <si>
    <t xml:space="preserve">Financial. Out of scope.</t>
  </si>
  <si>
    <t xml:space="preserve">E16</t>
  </si>
  <si>
    <t xml:space="preserve">PAYER_COVERAGE</t>
  </si>
  <si>
    <t xml:space="preserve">69.16</t>
  </si>
  <si>
    <t xml:space="preserve">E17</t>
  </si>
  <si>
    <t xml:space="preserve">C01</t>
  </si>
  <si>
    <t xml:space="preserve">conditions</t>
  </si>
  <si>
    <t xml:space="preserve">PATIENT + ENCOUNTER + CODE + START</t>
  </si>
  <si>
    <t xml:space="preserve">(composite)</t>
  </si>
  <si>
    <t xml:space="preserve">conditions.csv has no Id column, so build a legacy key: PATIENT|ENCOUNTER|CODE|START. identifier[0].system = urn:fhirmigration:legacy-condition-key.</t>
  </si>
  <si>
    <t xml:space="preserve">R-C05</t>
  </si>
  <si>
    <t xml:space="preserve">Needed for traceability and duplicate detection. See D5.</t>
  </si>
  <si>
    <t xml:space="preserve">C02</t>
  </si>
  <si>
    <t xml:space="preserve">Look up in the patient crosswalk -&gt; Reference(Patient/{new FHIR id}). Not found or patient rejected -&gt; reject.</t>
  </si>
  <si>
    <t xml:space="preserve">R-C02</t>
  </si>
  <si>
    <t xml:space="preserve">subject is REQUIRED (1..1) in FHIR R4.</t>
  </si>
  <si>
    <t xml:space="preserve">C03</t>
  </si>
  <si>
    <t xml:space="preserve">ENCOUNTER</t>
  </si>
  <si>
    <t xml:space="preserve">(encounter UUID)</t>
  </si>
  <si>
    <t xml:space="preserve">encounter</t>
  </si>
  <si>
    <t xml:space="preserve">Reference(Encounter)</t>
  </si>
  <si>
    <t xml:space="preserve">Look up in the encounter crosswalk -&gt; Reference(Encounter/{new FHIR id}). Not found or encounter rejected -&gt; load WITHOUT the link and flag.</t>
  </si>
  <si>
    <t xml:space="preserve">R-C03</t>
  </si>
  <si>
    <t xml:space="preserve">The diagnosis is still clinically valid even if its visit could not be migrated.</t>
  </si>
  <si>
    <t xml:space="preserve">C04</t>
  </si>
  <si>
    <t xml:space="preserve">2015-10-06</t>
  </si>
  <si>
    <t xml:space="preserve">onsetDateTime</t>
  </si>
  <si>
    <t xml:space="preserve">Copy as-is. Blank -&gt; load and flag.</t>
  </si>
  <si>
    <t xml:space="preserve">R-C04</t>
  </si>
  <si>
    <t xml:space="preserve">C05</t>
  </si>
  <si>
    <t xml:space="preserve">abatementDateTime</t>
  </si>
  <si>
    <t xml:space="preserve">Copy if present; blank -&gt; omit.</t>
  </si>
  <si>
    <t xml:space="preserve">C06</t>
  </si>
  <si>
    <t xml:space="preserve">clinicalStatus</t>
  </si>
  <si>
    <t xml:space="preserve">STOP blank -&gt; active; STOP present -&gt; resolved. System http://terminology.hl7.org/CodeSystem/condition-clinical.</t>
  </si>
  <si>
    <t xml:space="preserve">*FHIR rule con-4: if abatement is present, clinicalStatus must be inactive/resolved/remission.</t>
  </si>
  <si>
    <t xml:space="preserve">C07</t>
  </si>
  <si>
    <t xml:space="preserve">verificationStatus</t>
  </si>
  <si>
    <t xml:space="preserve">Constant: confirmed (system http://terminology.hl7.org/CodeSystem/condition-ver-status).</t>
  </si>
  <si>
    <t xml:space="preserve">Diagnoses in the legacy record are treated as confirmed.</t>
  </si>
  <si>
    <t xml:space="preserve">C08</t>
  </si>
  <si>
    <t xml:space="preserve">category[0]</t>
  </si>
  <si>
    <t xml:space="preserve">Constant: encounter-diagnosis (system http://terminology.hl7.org/CodeSystem/condition-category).</t>
  </si>
  <si>
    <t xml:space="preserve">These diagnoses were recorded during visits.</t>
  </si>
  <si>
    <t xml:space="preserve">C09</t>
  </si>
  <si>
    <t xml:space="preserve">SYSTEM</t>
  </si>
  <si>
    <t xml:space="preserve">SNOMED-CT</t>
  </si>
  <si>
    <t xml:space="preserve">code.coding[0].system</t>
  </si>
  <si>
    <t xml:space="preserve">uri</t>
  </si>
  <si>
    <t xml:space="preserve">Convert to the official URI: SNOMED-CT / blank -&gt; http://snomed.info/sct; ICD-10-CM -&gt; http://hl7.org/fhir/sid/icd-10-cm. Unknown -&gt; reject.</t>
  </si>
  <si>
    <t xml:space="preserve">R-C06</t>
  </si>
  <si>
    <t xml:space="preserve">A code is only meaningful together with its code system.</t>
  </si>
  <si>
    <t xml:space="preserve">C10</t>
  </si>
  <si>
    <t xml:space="preserve">44054006</t>
  </si>
  <si>
    <t xml:space="preserve">code.coding[0].code</t>
  </si>
  <si>
    <t xml:space="preserve">R-C01</t>
  </si>
  <si>
    <t xml:space="preserve">*A diagnosis with no code is unusable for reporting and billing.</t>
  </si>
  <si>
    <t xml:space="preserve">C11</t>
  </si>
  <si>
    <t xml:space="preserve">Diabetes mellitus type 2 (disorder)</t>
  </si>
  <si>
    <t xml:space="preserve">code.coding[0].display</t>
  </si>
  <si>
    <t xml:space="preserve">Copy as-is; also copy to code.text.</t>
  </si>
  <si>
    <t xml:space="preserve">C12</t>
  </si>
  <si>
    <t xml:space="preserve">C13</t>
  </si>
  <si>
    <t xml:space="preserve">(future)</t>
  </si>
  <si>
    <t xml:space="preserve">code.coding[1]</t>
  </si>
  <si>
    <t xml:space="preserve">Phase 2: add an ICD-10-CM translation alongside SNOMED (SNOMED -&gt; ICD-10-CM crosswalk).</t>
  </si>
  <si>
    <t xml:space="preserve">Shows coding expertise; clinics bill with ICD-10-CM. See D6.</t>
  </si>
  <si>
    <t xml:space="preserve">Map name</t>
  </si>
  <si>
    <t xml:space="preserve">Legacy value</t>
  </si>
  <si>
    <t xml:space="preserve">FHIR value</t>
  </si>
  <si>
    <t xml:space="preserve">FHIR code system</t>
  </si>
  <si>
    <t xml:space="preserve">Notes</t>
  </si>
  <si>
    <t xml:space="preserve">Gender</t>
  </si>
  <si>
    <t xml:space="preserve">male</t>
  </si>
  <si>
    <t xml:space="preserve">http://hl7.org/fhir/administrative-gender</t>
  </si>
  <si>
    <t xml:space="preserve">female</t>
  </si>
  <si>
    <t xml:space="preserve">(anything else)</t>
  </si>
  <si>
    <t xml:space="preserve">REJECT</t>
  </si>
  <si>
    <t xml:space="preserve">Rule R-P03</t>
  </si>
  <si>
    <t xml:space="preserve">Marital</t>
  </si>
  <si>
    <t xml:space="preserve">M (Married)</t>
  </si>
  <si>
    <t xml:space="preserve">http://terminology.hl7.org/CodeSystem/v3-MaritalStatus</t>
  </si>
  <si>
    <t xml:space="preserve">S</t>
  </si>
  <si>
    <t xml:space="preserve">S (Never Married)</t>
  </si>
  <si>
    <t xml:space="preserve">D</t>
  </si>
  <si>
    <t xml:space="preserve">D (Divorced)</t>
  </si>
  <si>
    <t xml:space="preserve">W</t>
  </si>
  <si>
    <t xml:space="preserve">W (Widowed)</t>
  </si>
  <si>
    <t xml:space="preserve">(omit element)</t>
  </si>
  <si>
    <t xml:space="preserve">Encounter class</t>
  </si>
  <si>
    <t xml:space="preserve">ambulatory</t>
  </si>
  <si>
    <t xml:space="preserve">AMB (ambulatory)</t>
  </si>
  <si>
    <t xml:space="preserve">http://terminology.hl7.org/CodeSystem/v3-ActCode</t>
  </si>
  <si>
    <t xml:space="preserve">outpatient</t>
  </si>
  <si>
    <t xml:space="preserve">urgentcare</t>
  </si>
  <si>
    <t xml:space="preserve">Review: see D2</t>
  </si>
  <si>
    <t xml:space="preserve">emergency</t>
  </si>
  <si>
    <t xml:space="preserve">EMER (emergency)</t>
  </si>
  <si>
    <t xml:space="preserve">inpatient</t>
  </si>
  <si>
    <t xml:space="preserve">IMP (inpatient encounter)</t>
  </si>
  <si>
    <t xml:space="preserve">snf</t>
  </si>
  <si>
    <t xml:space="preserve">NONAC (inpatient non-acute)</t>
  </si>
  <si>
    <t xml:space="preserve">Skilled nursing facility. Review: see D2</t>
  </si>
  <si>
    <t xml:space="preserve">hospice</t>
  </si>
  <si>
    <t xml:space="preserve">home</t>
  </si>
  <si>
    <t xml:space="preserve">HH (home health)</t>
  </si>
  <si>
    <t xml:space="preserve">virtual</t>
  </si>
  <si>
    <t xml:space="preserve">VR (virtual)</t>
  </si>
  <si>
    <t xml:space="preserve">Rule R-E03</t>
  </si>
  <si>
    <t xml:space="preserve">State</t>
  </si>
  <si>
    <t xml:space="preserve">NC</t>
  </si>
  <si>
    <t xml:space="preserve">USPS state codes</t>
  </si>
  <si>
    <t xml:space="preserve">Script holds the full 50-state table</t>
  </si>
  <si>
    <t xml:space="preserve">Condition clinical status</t>
  </si>
  <si>
    <t xml:space="preserve">STOP (derived)</t>
  </si>
  <si>
    <t xml:space="preserve">active</t>
  </si>
  <si>
    <t xml:space="preserve">http://terminology.hl7.org/CodeSystem/condition-clinical</t>
  </si>
  <si>
    <t xml:space="preserve">(date present)</t>
  </si>
  <si>
    <t xml:space="preserve">resolved</t>
  </si>
  <si>
    <t xml:space="preserve">Code system</t>
  </si>
  <si>
    <t xml:space="preserve">SNOMED-CT or blank</t>
  </si>
  <si>
    <t xml:space="preserve">http://snomed.info/sct</t>
  </si>
  <si>
    <t xml:space="preserve">ICD-10-CM</t>
  </si>
  <si>
    <t xml:space="preserve">http://hl7.org/fhir/sid/icd-10-cm</t>
  </si>
  <si>
    <t xml:space="preserve">Rule ID</t>
  </si>
  <si>
    <t xml:space="preserve">Check</t>
  </si>
  <si>
    <t xml:space="preserve">Action</t>
  </si>
  <si>
    <t xml:space="preserve">Planted error # (answer key row)</t>
  </si>
  <si>
    <t xml:space="preserve">Answer key error_type</t>
  </si>
  <si>
    <t xml:space="preserve">How it is tested (SQL / logic)</t>
  </si>
  <si>
    <t xml:space="preserve">R-P01</t>
  </si>
  <si>
    <t xml:space="preserve">BIRTHDATE is blank</t>
  </si>
  <si>
    <t xml:space="preserve">1, 2</t>
  </si>
  <si>
    <t xml:space="preserve">missing_required_value</t>
  </si>
  <si>
    <t xml:space="preserve">BIRTHDATE IS NULL</t>
  </si>
  <si>
    <t xml:space="preserve">R-P02</t>
  </si>
  <si>
    <t xml:space="preserve">BIRTHDATE not in YYYY-MM-DD format</t>
  </si>
  <si>
    <t xml:space="preserve">3</t>
  </si>
  <si>
    <t xml:space="preserve">nonstandard_date_format</t>
  </si>
  <si>
    <t xml:space="preserve">Convert MM/DD/YYYY to YYYY-MM-DD; if it can't be parsed, Reject</t>
  </si>
  <si>
    <t xml:space="preserve">GENDER not M or F</t>
  </si>
  <si>
    <t xml:space="preserve">4</t>
  </si>
  <si>
    <t xml:space="preserve">invalid_code</t>
  </si>
  <si>
    <t xml:space="preserve">GENDER NOT IN ('M','F')</t>
  </si>
  <si>
    <t xml:space="preserve">ADDRESS is blank</t>
  </si>
  <si>
    <t xml:space="preserve">5, 6</t>
  </si>
  <si>
    <t xml:space="preserve">missing_optional_value</t>
  </si>
  <si>
    <t xml:space="preserve">ADDRESS IS NULL</t>
  </si>
  <si>
    <t xml:space="preserve">Same patient Id appears more than once</t>
  </si>
  <si>
    <t xml:space="preserve">7</t>
  </si>
  <si>
    <t xml:space="preserve">duplicate_record</t>
  </si>
  <si>
    <t xml:space="preserve">Keep the first row, remove the extra copies, log each removal</t>
  </si>
  <si>
    <t xml:space="preserve">BIRTHDATE in the future, or DEATHDATE before BIRTHDATE</t>
  </si>
  <si>
    <t xml:space="preserve">-</t>
  </si>
  <si>
    <t xml:space="preserve">(not planted)</t>
  </si>
  <si>
    <t xml:space="preserve">Date logic check</t>
  </si>
  <si>
    <t xml:space="preserve">FIRST or LAST is blank</t>
  </si>
  <si>
    <t xml:space="preserve">FIRST IS NULL OR LAST IS NULL</t>
  </si>
  <si>
    <t xml:space="preserve">MARITAL not in Value_Maps</t>
  </si>
  <si>
    <t xml:space="preserve">Omit maritalStatus and flag</t>
  </si>
  <si>
    <t xml:space="preserve">R-E01</t>
  </si>
  <si>
    <t xml:space="preserve">PATIENT not found in the source patient list</t>
  </si>
  <si>
    <t xml:space="preserve">8</t>
  </si>
  <si>
    <t xml:space="preserve">orphan_reference</t>
  </si>
  <si>
    <t xml:space="preserve">PATIENT NOT IN (SELECT Id FROM stg.patients)</t>
  </si>
  <si>
    <t xml:space="preserve">STOP earlier than START</t>
  </si>
  <si>
    <t xml:space="preserve">STOP &lt; START</t>
  </si>
  <si>
    <t xml:space="preserve">ENCOUNTERCLASS not in Value_Maps</t>
  </si>
  <si>
    <t xml:space="preserve">class is required in FHIR</t>
  </si>
  <si>
    <t xml:space="preserve">R-E04</t>
  </si>
  <si>
    <t xml:space="preserve">Patient exists but was REJECTED</t>
  </si>
  <si>
    <t xml:space="preserve">(side effect of 1, 2, 4)</t>
  </si>
  <si>
    <t xml:space="preserve">Visits of a rejected patient cannot load; logged separately from true orphans</t>
  </si>
  <si>
    <t xml:space="preserve">START is blank</t>
  </si>
  <si>
    <t xml:space="preserve">START IS NULL</t>
  </si>
  <si>
    <t xml:space="preserve">CODE is blank</t>
  </si>
  <si>
    <t xml:space="preserve">9</t>
  </si>
  <si>
    <t xml:space="preserve">CODE IS NULL</t>
  </si>
  <si>
    <t xml:space="preserve">PATIENT not found, or patient was rejected</t>
  </si>
  <si>
    <t xml:space="preserve">Conditions need a valid subject</t>
  </si>
  <si>
    <t xml:space="preserve">ENCOUNTER not found, or encounter was rejected</t>
  </si>
  <si>
    <t xml:space="preserve">(side effect of 8)</t>
  </si>
  <si>
    <t xml:space="preserve">Load without the encounter link</t>
  </si>
  <si>
    <t xml:space="preserve">onset unknown</t>
  </si>
  <si>
    <t xml:space="preserve">Same legacy key appears more than once</t>
  </si>
  <si>
    <t xml:space="preserve">Keep first, log the rest</t>
  </si>
  <si>
    <t xml:space="preserve">SYSTEM not recognised</t>
  </si>
  <si>
    <t xml:space="preserve">See Value_Maps (Code system)</t>
  </si>
  <si>
    <t xml:space="preserve">Note on cascades:</t>
  </si>
  <si>
    <t xml:space="preserve">Rejecting 3 patients (rules R-P01, R-P03) also rejects their encounters and conditions (R-E04, R-C02). These are logged with their own rule IDs so the reconciliation can show: source rows = loaded + rejected (direct) + rejected (cascade) + duplicates removed.</t>
  </si>
  <si>
    <t xml:space="preserve">ID</t>
  </si>
  <si>
    <t xml:space="preserve">Question</t>
  </si>
  <si>
    <t xml:space="preserve">Decision</t>
  </si>
  <si>
    <t xml:space="preserve">Owner</t>
  </si>
  <si>
    <t xml:space="preserve">D1</t>
  </si>
  <si>
    <t xml:space="preserve">Synthea adds digits to names (Ashely524). Strip them?</t>
  </si>
  <si>
    <t xml:space="preserve">Keep as-is. The digits mark the data as synthetic, and changing names would make field-level reconciliation harder.</t>
  </si>
  <si>
    <t xml:space="preserve">Decided</t>
  </si>
  <si>
    <t xml:space="preserve">D2</t>
  </si>
  <si>
    <t xml:space="preserve">How should urgentcare, snf and hospice map to FHIR encounter class?</t>
  </si>
  <si>
    <t xml:space="preserve">urgentcare -&gt; AMB; snf and hospice -&gt; NONAC. Confirm with clinical stakeholders in a real project.</t>
  </si>
  <si>
    <t xml:space="preserve">Open</t>
  </si>
  <si>
    <t xml:space="preserve">D3</t>
  </si>
  <si>
    <t xml:space="preserve">Migrate race and ethnicity?</t>
  </si>
  <si>
    <t xml:space="preserve">Deferred to phase 2 (needs US Core extensions with OMB codes).</t>
  </si>
  <si>
    <t xml:space="preserve">D4</t>
  </si>
  <si>
    <t xml:space="preserve">Migrate organizations and practitioners?</t>
  </si>
  <si>
    <t xml:space="preserve">Not in v1. Encounters load without serviceProvider/participant links.</t>
  </si>
  <si>
    <t xml:space="preserve">D5</t>
  </si>
  <si>
    <t xml:space="preserve">conditions.csv has no unique Id. How do we identify rows?</t>
  </si>
  <si>
    <t xml:space="preserve">Composite legacy key PATIENT|ENCOUNTER|CODE|START.</t>
  </si>
  <si>
    <t xml:space="preserve">D6</t>
  </si>
  <si>
    <t xml:space="preserve">Add ICD-10-CM codes alongside SNOMED?</t>
  </si>
  <si>
    <t xml:space="preserve">Phase 2 stretch goal (SNOMED -&gt; ICD-10-CM crosswalk).</t>
  </si>
  <si>
    <t xml:space="preserve">D7</t>
  </si>
  <si>
    <t xml:space="preserve">Encounters of rejected patients: reject or hold?</t>
  </si>
  <si>
    <t xml:space="preserve">Reject with a separate cascade rule ID (R-E04), so the counts reconcile and staff can re-run them once the patient is fixed.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</si>
</sst>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  <dxf>
      <fill>
        <patternFill>
          <bgColor rgb="FFFFF2CC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35.8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 t="s">
        <v>5</v>
      </c>
      <c r="B4" s="2" t="s">
        <v>6</v>
      </c>
    </row>
    <row r="5" customFormat="false" ht="15" hidden="false" customHeight="false" outlineLevel="0" collapsed="false">
      <c r="A5" s="3" t="s">
        <v>7</v>
      </c>
      <c r="B5" s="4" t="s">
        <v>8</v>
      </c>
    </row>
    <row r="6" customFormat="false" ht="15" hidden="false" customHeight="false" outlineLevel="0" collapsed="false">
      <c r="A6" s="3" t="s">
        <v>9</v>
      </c>
      <c r="B6" s="2" t="s">
        <v>10</v>
      </c>
    </row>
    <row r="7" customFormat="false" ht="15" hidden="false" customHeight="false" outlineLevel="0" collapsed="false">
      <c r="A7" s="3" t="s">
        <v>11</v>
      </c>
      <c r="B7" s="4" t="s">
        <v>12</v>
      </c>
    </row>
    <row r="8" customFormat="false" ht="15" hidden="false" customHeight="false" outlineLevel="0" collapsed="false">
      <c r="A8" s="3"/>
      <c r="B8" s="2"/>
    </row>
    <row r="9" customFormat="false" ht="15" hidden="false" customHeight="false" outlineLevel="0" collapsed="false">
      <c r="A9" s="5" t="s">
        <v>13</v>
      </c>
      <c r="B9" s="2"/>
    </row>
    <row r="10" customFormat="false" ht="35.05" hidden="false" customHeight="false" outlineLevel="0" collapsed="false">
      <c r="A10" s="3" t="s">
        <v>14</v>
      </c>
      <c r="B10" s="2" t="s">
        <v>15</v>
      </c>
    </row>
    <row r="11" customFormat="false" ht="15" hidden="false" customHeight="false" outlineLevel="0" collapsed="false">
      <c r="A11" s="3"/>
      <c r="B11" s="2"/>
    </row>
    <row r="12" customFormat="false" ht="15" hidden="false" customHeight="false" outlineLevel="0" collapsed="false">
      <c r="A12" s="5" t="s">
        <v>16</v>
      </c>
      <c r="B12" s="2"/>
    </row>
    <row r="13" customFormat="false" ht="23.85" hidden="false" customHeight="false" outlineLevel="0" collapsed="false">
      <c r="A13" s="3" t="s">
        <v>17</v>
      </c>
      <c r="B13" s="2" t="s">
        <v>18</v>
      </c>
    </row>
    <row r="14" customFormat="false" ht="15" hidden="false" customHeight="false" outlineLevel="0" collapsed="false">
      <c r="A14" s="3" t="s">
        <v>19</v>
      </c>
      <c r="B14" s="2" t="s">
        <v>20</v>
      </c>
    </row>
    <row r="15" customFormat="false" ht="15" hidden="false" customHeight="false" outlineLevel="0" collapsed="false">
      <c r="A15" s="3" t="s">
        <v>21</v>
      </c>
      <c r="B15" s="2" t="s">
        <v>22</v>
      </c>
    </row>
    <row r="16" customFormat="false" ht="15" hidden="false" customHeight="false" outlineLevel="0" collapsed="false">
      <c r="A16" s="3" t="s">
        <v>23</v>
      </c>
      <c r="B16" s="2" t="s">
        <v>24</v>
      </c>
    </row>
    <row r="17" customFormat="false" ht="15" hidden="false" customHeight="false" outlineLevel="0" collapsed="false">
      <c r="A17" s="3" t="s">
        <v>25</v>
      </c>
      <c r="B17" s="2" t="s">
        <v>26</v>
      </c>
    </row>
    <row r="18" customFormat="false" ht="15" hidden="false" customHeight="false" outlineLevel="0" collapsed="false">
      <c r="A18" s="3"/>
      <c r="B18" s="2"/>
    </row>
    <row r="19" customFormat="false" ht="15" hidden="false" customHeight="false" outlineLevel="0" collapsed="false">
      <c r="A19" s="5" t="s">
        <v>27</v>
      </c>
      <c r="B19" s="2"/>
    </row>
    <row r="20" customFormat="false" ht="15" hidden="false" customHeight="false" outlineLevel="0" collapsed="false">
      <c r="A20" s="3" t="s">
        <v>28</v>
      </c>
      <c r="B20" s="2" t="s">
        <v>29</v>
      </c>
    </row>
    <row r="21" customFormat="false" ht="15" hidden="false" customHeight="false" outlineLevel="0" collapsed="false">
      <c r="A21" s="3" t="s">
        <v>30</v>
      </c>
      <c r="B21" s="2" t="s">
        <v>31</v>
      </c>
    </row>
    <row r="22" customFormat="false" ht="15" hidden="false" customHeight="false" outlineLevel="0" collapsed="false">
      <c r="A22" s="3" t="s">
        <v>32</v>
      </c>
      <c r="B22" s="2" t="s">
        <v>33</v>
      </c>
    </row>
    <row r="23" customFormat="false" ht="15" hidden="false" customHeight="false" outlineLevel="0" collapsed="false">
      <c r="A23" s="3" t="s">
        <v>34</v>
      </c>
      <c r="B23" s="2" t="s">
        <v>35</v>
      </c>
    </row>
    <row r="24" customFormat="false" ht="15" hidden="false" customHeight="false" outlineLevel="0" collapsed="false">
      <c r="A24" s="3" t="s">
        <v>36</v>
      </c>
      <c r="B24" s="2" t="s">
        <v>37</v>
      </c>
    </row>
    <row r="25" customFormat="false" ht="15" hidden="false" customHeight="false" outlineLevel="0" collapsed="false">
      <c r="A25" s="3"/>
      <c r="B25" s="2"/>
    </row>
    <row r="26" customFormat="false" ht="26.85" hidden="false" customHeight="false" outlineLevel="0" collapsed="false">
      <c r="A26" s="5" t="s">
        <v>38</v>
      </c>
      <c r="B26" s="2"/>
    </row>
    <row r="27" customFormat="false" ht="15" hidden="false" customHeight="false" outlineLevel="0" collapsed="false">
      <c r="A27" s="3" t="s">
        <v>39</v>
      </c>
      <c r="B27" s="2" t="s">
        <v>40</v>
      </c>
    </row>
    <row r="28" customFormat="false" ht="15" hidden="false" customHeight="false" outlineLevel="0" collapsed="false">
      <c r="A28" s="3" t="s">
        <v>41</v>
      </c>
      <c r="B28" s="2" t="s">
        <v>42</v>
      </c>
    </row>
    <row r="29" customFormat="false" ht="15" hidden="false" customHeight="false" outlineLevel="0" collapsed="false">
      <c r="A29" s="3" t="s">
        <v>43</v>
      </c>
      <c r="B29" s="2" t="s">
        <v>44</v>
      </c>
    </row>
    <row r="30" customFormat="false" ht="15" hidden="false" customHeight="false" outlineLevel="0" collapsed="false">
      <c r="A30" s="3"/>
      <c r="B30" s="2"/>
    </row>
    <row r="31" customFormat="false" ht="15" hidden="false" customHeight="false" outlineLevel="0" collapsed="false">
      <c r="A31" s="5" t="s">
        <v>45</v>
      </c>
      <c r="B31" s="2"/>
    </row>
    <row r="32" customFormat="false" ht="15" hidden="false" customHeight="false" outlineLevel="0" collapsed="false">
      <c r="A32" s="6" t="s">
        <v>46</v>
      </c>
      <c r="B32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7" t="s">
        <v>48</v>
      </c>
      <c r="B1" s="7" t="s">
        <v>28</v>
      </c>
      <c r="C1" s="7" t="s">
        <v>30</v>
      </c>
      <c r="D1" s="7" t="s">
        <v>32</v>
      </c>
      <c r="E1" s="7" t="s">
        <v>36</v>
      </c>
      <c r="F1" s="7" t="s">
        <v>34</v>
      </c>
      <c r="G1" s="7" t="s">
        <v>49</v>
      </c>
    </row>
    <row r="2" customFormat="false" ht="15" hidden="false" customHeight="false" outlineLevel="0" collapsed="false">
      <c r="A2" s="8" t="s">
        <v>50</v>
      </c>
      <c r="B2" s="8" t="n">
        <f aca="false">COUNTIF(Patient_Map!$E:$E,"Mapped")</f>
        <v>16</v>
      </c>
      <c r="C2" s="8" t="n">
        <f aca="false">COUNTIF(Patient_Map!$E:$E,"Constant")</f>
        <v>2</v>
      </c>
      <c r="D2" s="8" t="n">
        <f aca="false">COUNTIF(Patient_Map!$E:$E,"Derived")</f>
        <v>0</v>
      </c>
      <c r="E2" s="8" t="n">
        <f aca="false">COUNTIF(Patient_Map!$E:$E,"Deferred")</f>
        <v>2</v>
      </c>
      <c r="F2" s="8" t="n">
        <f aca="false">COUNTIF(Patient_Map!$E:$E,"Not migrated")</f>
        <v>9</v>
      </c>
      <c r="G2" s="8" t="n">
        <f aca="false">COUNTA(Patient_Map!$A:$A)-1</f>
        <v>29</v>
      </c>
    </row>
    <row r="3" customFormat="false" ht="15" hidden="false" customHeight="false" outlineLevel="0" collapsed="false">
      <c r="A3" s="8" t="s">
        <v>51</v>
      </c>
      <c r="B3" s="8" t="n">
        <f aca="false">COUNTIF(Encounter_Map!$E:$E,"Mapped")</f>
        <v>9</v>
      </c>
      <c r="C3" s="8" t="n">
        <f aca="false">COUNTIF(Encounter_Map!$E:$E,"Constant")</f>
        <v>1</v>
      </c>
      <c r="D3" s="8" t="n">
        <f aca="false">COUNTIF(Encounter_Map!$E:$E,"Derived")</f>
        <v>1</v>
      </c>
      <c r="E3" s="8" t="n">
        <f aca="false">COUNTIF(Encounter_Map!$E:$E,"Deferred")</f>
        <v>2</v>
      </c>
      <c r="F3" s="8" t="n">
        <f aca="false">COUNTIF(Encounter_Map!$E:$E,"Not migrated")</f>
        <v>4</v>
      </c>
      <c r="G3" s="8" t="n">
        <f aca="false">COUNTA(Encounter_Map!$A:$A)-1</f>
        <v>17</v>
      </c>
    </row>
    <row r="4" customFormat="false" ht="15" hidden="false" customHeight="false" outlineLevel="0" collapsed="false">
      <c r="A4" s="8" t="s">
        <v>52</v>
      </c>
      <c r="B4" s="8" t="n">
        <f aca="false">COUNTIF(Condition_Map!$E:$E,"Mapped")</f>
        <v>7</v>
      </c>
      <c r="C4" s="8" t="n">
        <f aca="false">COUNTIF(Condition_Map!$E:$E,"Constant")</f>
        <v>3</v>
      </c>
      <c r="D4" s="8" t="n">
        <f aca="false">COUNTIF(Condition_Map!$E:$E,"Derived")</f>
        <v>2</v>
      </c>
      <c r="E4" s="8" t="n">
        <f aca="false">COUNTIF(Condition_Map!$E:$E,"Deferred")</f>
        <v>1</v>
      </c>
      <c r="F4" s="8" t="n">
        <f aca="false">COUNTIF(Condition_Map!$E:$E,"Not migrated")</f>
        <v>0</v>
      </c>
      <c r="G4" s="8" t="n">
        <f aca="false">COUNTA(Condition_Map!$A:$A)-1</f>
        <v>13</v>
      </c>
    </row>
    <row r="5" customFormat="false" ht="15" hidden="false" customHeight="false" outlineLevel="0" collapsed="false">
      <c r="A5" s="9" t="s">
        <v>53</v>
      </c>
      <c r="B5" s="9" t="n">
        <f aca="false">SUM(B2:B4)</f>
        <v>32</v>
      </c>
      <c r="C5" s="9" t="n">
        <f aca="false">SUM(C2:C4)</f>
        <v>6</v>
      </c>
      <c r="D5" s="9" t="n">
        <f aca="false">SUM(D2:D4)</f>
        <v>3</v>
      </c>
      <c r="E5" s="9" t="n">
        <f aca="false">SUM(E2:E4)</f>
        <v>5</v>
      </c>
      <c r="F5" s="9" t="n">
        <f aca="false">SUM(F2:F4)</f>
        <v>13</v>
      </c>
      <c r="G5" s="9" t="n">
        <f aca="false">SUM(G2:G4)</f>
        <v>59</v>
      </c>
    </row>
    <row r="7" customFormat="false" ht="15" hidden="false" customHeight="false" outlineLevel="0" collapsed="false">
      <c r="A7" s="10" t="s">
        <v>54</v>
      </c>
    </row>
    <row r="8" customFormat="false" ht="15" hidden="false" customHeight="false" outlineLevel="0" collapsed="false">
      <c r="A8" s="11" t="s">
        <v>39</v>
      </c>
      <c r="B8" s="11" t="n">
        <f aca="false">COUNTIF(Validation_Rules!$D:$D,"Reject")</f>
        <v>9</v>
      </c>
    </row>
    <row r="9" customFormat="false" ht="15" hidden="false" customHeight="false" outlineLevel="0" collapsed="false">
      <c r="A9" s="11" t="s">
        <v>55</v>
      </c>
      <c r="B9" s="11" t="n">
        <f aca="false">COUNTIF(Validation_Rules!$D:$D,"Reject (cascade)")</f>
        <v>2</v>
      </c>
    </row>
    <row r="10" customFormat="false" ht="15" hidden="false" customHeight="false" outlineLevel="0" collapsed="false">
      <c r="A10" s="11" t="s">
        <v>41</v>
      </c>
      <c r="B10" s="11" t="n">
        <f aca="false">COUNTIF(Validation_Rules!$D:$D,"Fix")</f>
        <v>3</v>
      </c>
    </row>
    <row r="11" customFormat="false" ht="15" hidden="false" customHeight="false" outlineLevel="0" collapsed="false">
      <c r="A11" s="11" t="s">
        <v>43</v>
      </c>
      <c r="B11" s="11" t="n">
        <f aca="false">COUNTIF(Validation_Rules!$D:$D,"Flag")</f>
        <v>5</v>
      </c>
    </row>
    <row r="12" customFormat="false" ht="15" hidden="false" customHeight="false" outlineLevel="0" collapsed="false">
      <c r="A12" s="10" t="s">
        <v>56</v>
      </c>
      <c r="B12" s="10" t="n">
        <f aca="false">SUM(B8:B11)</f>
        <v>19</v>
      </c>
    </row>
    <row r="14" customFormat="false" ht="15" hidden="false" customHeight="false" outlineLevel="0" collapsed="false">
      <c r="A14" s="11" t="s">
        <v>57</v>
      </c>
      <c r="B14" s="11" t="n">
        <f aca="false">COUNTIFS(Validation_Rules!$E$2:$E$100,"&lt;&gt;-",Validation_Rules!$E$2:$E$100,"&lt;&gt;")</f>
        <v>7</v>
      </c>
      <c r="C14" s="1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48"/>
    <col collapsed="false" customWidth="true" hidden="false" outlineLevel="0" max="11" min="11" style="0" width="12"/>
    <col collapsed="false" customWidth="true" hidden="false" outlineLevel="0" max="12" min="12" style="0" width="46"/>
  </cols>
  <sheetData>
    <row r="1" customFormat="false" ht="30" hidden="false" customHeight="true" outlineLevel="0" collapsed="false">
      <c r="A1" s="13" t="s">
        <v>59</v>
      </c>
      <c r="B1" s="13" t="s">
        <v>60</v>
      </c>
      <c r="C1" s="13" t="s">
        <v>61</v>
      </c>
      <c r="D1" s="13" t="s">
        <v>62</v>
      </c>
      <c r="E1" s="13" t="s">
        <v>63</v>
      </c>
      <c r="F1" s="13" t="s">
        <v>64</v>
      </c>
      <c r="G1" s="13" t="s">
        <v>65</v>
      </c>
      <c r="H1" s="13" t="s">
        <v>66</v>
      </c>
      <c r="I1" s="13" t="s">
        <v>67</v>
      </c>
      <c r="J1" s="13" t="s">
        <v>68</v>
      </c>
      <c r="K1" s="13" t="s">
        <v>69</v>
      </c>
      <c r="L1" s="13" t="s">
        <v>70</v>
      </c>
    </row>
    <row r="2" customFormat="false" ht="46.25" hidden="false" customHeight="false" outlineLevel="0" collapsed="false">
      <c r="A2" s="14" t="s">
        <v>71</v>
      </c>
      <c r="B2" s="14" t="s">
        <v>72</v>
      </c>
      <c r="C2" s="14" t="s">
        <v>73</v>
      </c>
      <c r="D2" s="14" t="s">
        <v>74</v>
      </c>
      <c r="E2" s="15" t="s">
        <v>28</v>
      </c>
      <c r="F2" s="14" t="s">
        <v>50</v>
      </c>
      <c r="G2" s="14" t="s">
        <v>75</v>
      </c>
      <c r="H2" s="14" t="s">
        <v>76</v>
      </c>
      <c r="I2" s="14" t="s">
        <v>77</v>
      </c>
      <c r="J2" s="14" t="s">
        <v>78</v>
      </c>
      <c r="K2" s="14" t="s">
        <v>79</v>
      </c>
      <c r="L2" s="14" t="s">
        <v>80</v>
      </c>
    </row>
    <row r="3" customFormat="false" ht="35.05" hidden="false" customHeight="false" outlineLevel="0" collapsed="false">
      <c r="A3" s="14" t="s">
        <v>81</v>
      </c>
      <c r="B3" s="14" t="s">
        <v>72</v>
      </c>
      <c r="C3" s="14" t="s">
        <v>82</v>
      </c>
      <c r="D3" s="14" t="s">
        <v>83</v>
      </c>
      <c r="E3" s="15" t="s">
        <v>28</v>
      </c>
      <c r="F3" s="14" t="s">
        <v>50</v>
      </c>
      <c r="G3" s="14" t="s">
        <v>84</v>
      </c>
      <c r="H3" s="14" t="s">
        <v>85</v>
      </c>
      <c r="I3" s="14" t="s">
        <v>86</v>
      </c>
      <c r="J3" s="14" t="s">
        <v>87</v>
      </c>
      <c r="K3" s="14" t="s">
        <v>88</v>
      </c>
      <c r="L3" s="14" t="s">
        <v>89</v>
      </c>
    </row>
    <row r="4" customFormat="false" ht="23.85" hidden="false" customHeight="false" outlineLevel="0" collapsed="false">
      <c r="A4" s="14" t="s">
        <v>90</v>
      </c>
      <c r="B4" s="14" t="s">
        <v>72</v>
      </c>
      <c r="C4" s="14" t="s">
        <v>91</v>
      </c>
      <c r="D4" s="14" t="s">
        <v>92</v>
      </c>
      <c r="E4" s="15" t="s">
        <v>28</v>
      </c>
      <c r="F4" s="14" t="s">
        <v>50</v>
      </c>
      <c r="G4" s="14" t="s">
        <v>93</v>
      </c>
      <c r="H4" s="14" t="s">
        <v>94</v>
      </c>
      <c r="I4" s="14" t="s">
        <v>77</v>
      </c>
      <c r="J4" s="14" t="s">
        <v>95</v>
      </c>
      <c r="K4" s="14" t="s">
        <v>96</v>
      </c>
      <c r="L4" s="14" t="s">
        <v>97</v>
      </c>
    </row>
    <row r="5" customFormat="false" ht="15" hidden="false" customHeight="false" outlineLevel="0" collapsed="false">
      <c r="A5" s="14" t="s">
        <v>98</v>
      </c>
      <c r="B5" s="14" t="s">
        <v>72</v>
      </c>
      <c r="C5" s="14" t="s">
        <v>99</v>
      </c>
      <c r="D5" s="14" t="s">
        <v>100</v>
      </c>
      <c r="E5" s="15" t="s">
        <v>28</v>
      </c>
      <c r="F5" s="14" t="s">
        <v>50</v>
      </c>
      <c r="G5" s="14" t="s">
        <v>101</v>
      </c>
      <c r="H5" s="14" t="s">
        <v>102</v>
      </c>
      <c r="I5" s="14" t="s">
        <v>77</v>
      </c>
      <c r="J5" s="14" t="s">
        <v>103</v>
      </c>
      <c r="K5" s="14"/>
      <c r="L5" s="14"/>
    </row>
    <row r="6" customFormat="false" ht="23.85" hidden="false" customHeight="false" outlineLevel="0" collapsed="false">
      <c r="A6" s="14" t="s">
        <v>104</v>
      </c>
      <c r="B6" s="14" t="s">
        <v>72</v>
      </c>
      <c r="C6" s="14" t="s">
        <v>105</v>
      </c>
      <c r="D6" s="14" t="s">
        <v>106</v>
      </c>
      <c r="E6" s="15" t="s">
        <v>28</v>
      </c>
      <c r="F6" s="14" t="s">
        <v>50</v>
      </c>
      <c r="G6" s="14" t="s">
        <v>107</v>
      </c>
      <c r="H6" s="14" t="s">
        <v>102</v>
      </c>
      <c r="I6" s="14" t="s">
        <v>86</v>
      </c>
      <c r="J6" s="14" t="s">
        <v>108</v>
      </c>
      <c r="K6" s="14" t="s">
        <v>109</v>
      </c>
      <c r="L6" s="14" t="s">
        <v>110</v>
      </c>
    </row>
    <row r="7" customFormat="false" ht="15" hidden="false" customHeight="false" outlineLevel="0" collapsed="false">
      <c r="A7" s="14" t="s">
        <v>111</v>
      </c>
      <c r="B7" s="14" t="s">
        <v>72</v>
      </c>
      <c r="C7" s="14" t="s">
        <v>112</v>
      </c>
      <c r="D7" s="14" t="s">
        <v>113</v>
      </c>
      <c r="E7" s="15" t="s">
        <v>28</v>
      </c>
      <c r="F7" s="14" t="s">
        <v>50</v>
      </c>
      <c r="G7" s="14" t="s">
        <v>114</v>
      </c>
      <c r="H7" s="14" t="s">
        <v>102</v>
      </c>
      <c r="I7" s="14" t="s">
        <v>77</v>
      </c>
      <c r="J7" s="14" t="s">
        <v>115</v>
      </c>
      <c r="K7" s="14"/>
      <c r="L7" s="14"/>
    </row>
    <row r="8" customFormat="false" ht="15" hidden="false" customHeight="false" outlineLevel="0" collapsed="false">
      <c r="A8" s="14" t="s">
        <v>116</v>
      </c>
      <c r="B8" s="14" t="s">
        <v>72</v>
      </c>
      <c r="C8" s="14" t="s">
        <v>117</v>
      </c>
      <c r="D8" s="14" t="s">
        <v>118</v>
      </c>
      <c r="E8" s="15" t="s">
        <v>28</v>
      </c>
      <c r="F8" s="14" t="s">
        <v>50</v>
      </c>
      <c r="G8" s="14" t="s">
        <v>119</v>
      </c>
      <c r="H8" s="14" t="s">
        <v>102</v>
      </c>
      <c r="I8" s="14" t="s">
        <v>86</v>
      </c>
      <c r="J8" s="14" t="s">
        <v>120</v>
      </c>
      <c r="K8" s="14" t="s">
        <v>109</v>
      </c>
      <c r="L8" s="14" t="s">
        <v>121</v>
      </c>
    </row>
    <row r="9" customFormat="false" ht="15" hidden="false" customHeight="false" outlineLevel="0" collapsed="false">
      <c r="A9" s="14" t="s">
        <v>122</v>
      </c>
      <c r="B9" s="14" t="s">
        <v>72</v>
      </c>
      <c r="C9" s="14" t="s">
        <v>123</v>
      </c>
      <c r="D9" s="14" t="s">
        <v>124</v>
      </c>
      <c r="E9" s="15" t="s">
        <v>28</v>
      </c>
      <c r="F9" s="14" t="s">
        <v>50</v>
      </c>
      <c r="G9" s="14" t="s">
        <v>125</v>
      </c>
      <c r="H9" s="14" t="s">
        <v>102</v>
      </c>
      <c r="I9" s="14" t="s">
        <v>77</v>
      </c>
      <c r="J9" s="14" t="s">
        <v>103</v>
      </c>
      <c r="K9" s="14"/>
      <c r="L9" s="14"/>
    </row>
    <row r="10" customFormat="false" ht="23.85" hidden="false" customHeight="false" outlineLevel="0" collapsed="false">
      <c r="A10" s="14" t="s">
        <v>126</v>
      </c>
      <c r="B10" s="14" t="s">
        <v>72</v>
      </c>
      <c r="C10" s="14" t="s">
        <v>127</v>
      </c>
      <c r="D10" s="14" t="s">
        <v>128</v>
      </c>
      <c r="E10" s="15" t="s">
        <v>28</v>
      </c>
      <c r="F10" s="14" t="s">
        <v>50</v>
      </c>
      <c r="G10" s="14" t="s">
        <v>129</v>
      </c>
      <c r="H10" s="14" t="s">
        <v>102</v>
      </c>
      <c r="I10" s="14" t="s">
        <v>77</v>
      </c>
      <c r="J10" s="14" t="s">
        <v>130</v>
      </c>
      <c r="K10" s="14"/>
      <c r="L10" s="14" t="s">
        <v>131</v>
      </c>
    </row>
    <row r="11" customFormat="false" ht="23.85" hidden="false" customHeight="false" outlineLevel="0" collapsed="false">
      <c r="A11" s="14" t="s">
        <v>132</v>
      </c>
      <c r="B11" s="14" t="s">
        <v>72</v>
      </c>
      <c r="C11" s="14" t="s">
        <v>133</v>
      </c>
      <c r="D11" s="14" t="s">
        <v>134</v>
      </c>
      <c r="E11" s="15" t="s">
        <v>28</v>
      </c>
      <c r="F11" s="14" t="s">
        <v>50</v>
      </c>
      <c r="G11" s="14" t="s">
        <v>135</v>
      </c>
      <c r="H11" s="14" t="s">
        <v>136</v>
      </c>
      <c r="I11" s="14" t="s">
        <v>77</v>
      </c>
      <c r="J11" s="14" t="s">
        <v>137</v>
      </c>
      <c r="K11" s="14" t="s">
        <v>138</v>
      </c>
      <c r="L11" s="14" t="s">
        <v>139</v>
      </c>
    </row>
    <row r="12" customFormat="false" ht="23.85" hidden="false" customHeight="false" outlineLevel="0" collapsed="false">
      <c r="A12" s="14" t="s">
        <v>140</v>
      </c>
      <c r="B12" s="14" t="s">
        <v>72</v>
      </c>
      <c r="C12" s="14" t="s">
        <v>141</v>
      </c>
      <c r="D12" s="14" t="s">
        <v>142</v>
      </c>
      <c r="E12" s="15" t="s">
        <v>28</v>
      </c>
      <c r="F12" s="14" t="s">
        <v>50</v>
      </c>
      <c r="G12" s="14" t="s">
        <v>143</v>
      </c>
      <c r="H12" s="14" t="s">
        <v>144</v>
      </c>
      <c r="I12" s="14" t="s">
        <v>86</v>
      </c>
      <c r="J12" s="14" t="s">
        <v>145</v>
      </c>
      <c r="K12" s="14" t="s">
        <v>146</v>
      </c>
      <c r="L12" s="14" t="s">
        <v>147</v>
      </c>
    </row>
    <row r="13" customFormat="false" ht="23.85" hidden="false" customHeight="false" outlineLevel="0" collapsed="false">
      <c r="A13" s="14" t="s">
        <v>148</v>
      </c>
      <c r="B13" s="14" t="s">
        <v>72</v>
      </c>
      <c r="C13" s="14" t="s">
        <v>149</v>
      </c>
      <c r="D13" s="14" t="s">
        <v>150</v>
      </c>
      <c r="E13" s="15" t="s">
        <v>28</v>
      </c>
      <c r="F13" s="14" t="s">
        <v>50</v>
      </c>
      <c r="G13" s="14" t="s">
        <v>151</v>
      </c>
      <c r="H13" s="14" t="s">
        <v>102</v>
      </c>
      <c r="I13" s="14" t="s">
        <v>77</v>
      </c>
      <c r="J13" s="14" t="s">
        <v>152</v>
      </c>
      <c r="K13" s="14" t="s">
        <v>153</v>
      </c>
      <c r="L13" s="14" t="s">
        <v>154</v>
      </c>
    </row>
    <row r="14" customFormat="false" ht="15" hidden="false" customHeight="false" outlineLevel="0" collapsed="false">
      <c r="A14" s="14" t="s">
        <v>155</v>
      </c>
      <c r="B14" s="14" t="s">
        <v>72</v>
      </c>
      <c r="C14" s="14" t="s">
        <v>156</v>
      </c>
      <c r="D14" s="14" t="s">
        <v>157</v>
      </c>
      <c r="E14" s="15" t="s">
        <v>28</v>
      </c>
      <c r="F14" s="14" t="s">
        <v>50</v>
      </c>
      <c r="G14" s="14" t="s">
        <v>158</v>
      </c>
      <c r="H14" s="14" t="s">
        <v>102</v>
      </c>
      <c r="I14" s="14" t="s">
        <v>77</v>
      </c>
      <c r="J14" s="14" t="s">
        <v>159</v>
      </c>
      <c r="K14" s="14"/>
      <c r="L14" s="14"/>
    </row>
    <row r="15" customFormat="false" ht="23.85" hidden="false" customHeight="false" outlineLevel="0" collapsed="false">
      <c r="A15" s="14" t="s">
        <v>160</v>
      </c>
      <c r="B15" s="14" t="s">
        <v>72</v>
      </c>
      <c r="C15" s="14" t="s">
        <v>161</v>
      </c>
      <c r="D15" s="14" t="s">
        <v>162</v>
      </c>
      <c r="E15" s="15" t="s">
        <v>28</v>
      </c>
      <c r="F15" s="14" t="s">
        <v>50</v>
      </c>
      <c r="G15" s="14" t="s">
        <v>163</v>
      </c>
      <c r="H15" s="14" t="s">
        <v>102</v>
      </c>
      <c r="I15" s="14" t="s">
        <v>77</v>
      </c>
      <c r="J15" s="14" t="s">
        <v>164</v>
      </c>
      <c r="K15" s="14"/>
      <c r="L15" s="14" t="s">
        <v>165</v>
      </c>
    </row>
    <row r="16" customFormat="false" ht="15" hidden="false" customHeight="false" outlineLevel="0" collapsed="false">
      <c r="A16" s="14" t="s">
        <v>166</v>
      </c>
      <c r="B16" s="14" t="s">
        <v>72</v>
      </c>
      <c r="C16" s="14" t="s">
        <v>167</v>
      </c>
      <c r="D16" s="14" t="s">
        <v>168</v>
      </c>
      <c r="E16" s="15" t="s">
        <v>28</v>
      </c>
      <c r="F16" s="14" t="s">
        <v>50</v>
      </c>
      <c r="G16" s="14" t="s">
        <v>169</v>
      </c>
      <c r="H16" s="14" t="s">
        <v>102</v>
      </c>
      <c r="I16" s="14" t="s">
        <v>77</v>
      </c>
      <c r="J16" s="14" t="s">
        <v>159</v>
      </c>
      <c r="K16" s="14"/>
      <c r="L16" s="14" t="s">
        <v>170</v>
      </c>
    </row>
    <row r="17" customFormat="false" ht="23.85" hidden="false" customHeight="false" outlineLevel="0" collapsed="false">
      <c r="A17" s="14" t="s">
        <v>171</v>
      </c>
      <c r="B17" s="14" t="s">
        <v>72</v>
      </c>
      <c r="C17" s="14" t="s">
        <v>172</v>
      </c>
      <c r="D17" s="14" t="s">
        <v>173</v>
      </c>
      <c r="E17" s="15" t="s">
        <v>28</v>
      </c>
      <c r="F17" s="14" t="s">
        <v>50</v>
      </c>
      <c r="G17" s="14" t="s">
        <v>174</v>
      </c>
      <c r="H17" s="14" t="s">
        <v>102</v>
      </c>
      <c r="I17" s="14" t="s">
        <v>77</v>
      </c>
      <c r="J17" s="14" t="s">
        <v>175</v>
      </c>
      <c r="K17" s="14"/>
      <c r="L17" s="14" t="s">
        <v>176</v>
      </c>
    </row>
    <row r="18" customFormat="false" ht="15" hidden="false" customHeight="false" outlineLevel="0" collapsed="false">
      <c r="A18" s="14" t="s">
        <v>177</v>
      </c>
      <c r="B18" s="14" t="s">
        <v>72</v>
      </c>
      <c r="C18" s="14" t="s">
        <v>178</v>
      </c>
      <c r="D18" s="14"/>
      <c r="E18" s="15" t="s">
        <v>30</v>
      </c>
      <c r="F18" s="14" t="s">
        <v>50</v>
      </c>
      <c r="G18" s="14" t="s">
        <v>179</v>
      </c>
      <c r="H18" s="14" t="s">
        <v>102</v>
      </c>
      <c r="I18" s="14" t="s">
        <v>77</v>
      </c>
      <c r="J18" s="14" t="s">
        <v>180</v>
      </c>
      <c r="K18" s="14"/>
      <c r="L18" s="14"/>
    </row>
    <row r="19" customFormat="false" ht="23.85" hidden="false" customHeight="false" outlineLevel="0" collapsed="false">
      <c r="A19" s="14" t="s">
        <v>181</v>
      </c>
      <c r="B19" s="14" t="s">
        <v>72</v>
      </c>
      <c r="C19" s="14" t="s">
        <v>182</v>
      </c>
      <c r="D19" s="14" t="s">
        <v>183</v>
      </c>
      <c r="E19" s="15" t="s">
        <v>34</v>
      </c>
      <c r="F19" s="14"/>
      <c r="G19" s="14"/>
      <c r="H19" s="14"/>
      <c r="I19" s="14"/>
      <c r="J19" s="14"/>
      <c r="K19" s="14"/>
      <c r="L19" s="14" t="s">
        <v>184</v>
      </c>
    </row>
    <row r="20" customFormat="false" ht="23.85" hidden="false" customHeight="false" outlineLevel="0" collapsed="false">
      <c r="A20" s="14" t="s">
        <v>185</v>
      </c>
      <c r="B20" s="14" t="s">
        <v>72</v>
      </c>
      <c r="C20" s="14" t="s">
        <v>186</v>
      </c>
      <c r="D20" s="14" t="s">
        <v>187</v>
      </c>
      <c r="E20" s="15" t="s">
        <v>34</v>
      </c>
      <c r="F20" s="14"/>
      <c r="G20" s="14"/>
      <c r="H20" s="14"/>
      <c r="I20" s="14"/>
      <c r="J20" s="14"/>
      <c r="K20" s="14"/>
      <c r="L20" s="14" t="s">
        <v>188</v>
      </c>
    </row>
    <row r="21" customFormat="false" ht="23.85" hidden="false" customHeight="false" outlineLevel="0" collapsed="false">
      <c r="A21" s="14" t="s">
        <v>189</v>
      </c>
      <c r="B21" s="14" t="s">
        <v>72</v>
      </c>
      <c r="C21" s="14" t="s">
        <v>190</v>
      </c>
      <c r="D21" s="14" t="s">
        <v>191</v>
      </c>
      <c r="E21" s="15" t="s">
        <v>36</v>
      </c>
      <c r="F21" s="14" t="s">
        <v>50</v>
      </c>
      <c r="G21" s="14" t="s">
        <v>192</v>
      </c>
      <c r="H21" s="14" t="s">
        <v>193</v>
      </c>
      <c r="I21" s="14" t="s">
        <v>77</v>
      </c>
      <c r="J21" s="14" t="s">
        <v>194</v>
      </c>
      <c r="K21" s="14"/>
      <c r="L21" s="14" t="s">
        <v>195</v>
      </c>
    </row>
    <row r="22" customFormat="false" ht="23.85" hidden="false" customHeight="false" outlineLevel="0" collapsed="false">
      <c r="A22" s="14" t="s">
        <v>196</v>
      </c>
      <c r="B22" s="14" t="s">
        <v>72</v>
      </c>
      <c r="C22" s="14" t="s">
        <v>197</v>
      </c>
      <c r="D22" s="14" t="s">
        <v>198</v>
      </c>
      <c r="E22" s="15" t="s">
        <v>36</v>
      </c>
      <c r="F22" s="14" t="s">
        <v>50</v>
      </c>
      <c r="G22" s="14" t="s">
        <v>199</v>
      </c>
      <c r="H22" s="14" t="s">
        <v>193</v>
      </c>
      <c r="I22" s="14" t="s">
        <v>77</v>
      </c>
      <c r="J22" s="14" t="s">
        <v>200</v>
      </c>
      <c r="K22" s="14"/>
      <c r="L22" s="14" t="s">
        <v>201</v>
      </c>
    </row>
    <row r="23" customFormat="false" ht="15" hidden="false" customHeight="false" outlineLevel="0" collapsed="false">
      <c r="A23" s="14" t="s">
        <v>202</v>
      </c>
      <c r="B23" s="14" t="s">
        <v>72</v>
      </c>
      <c r="C23" s="14" t="s">
        <v>203</v>
      </c>
      <c r="D23" s="14" t="s">
        <v>204</v>
      </c>
      <c r="E23" s="15" t="s">
        <v>34</v>
      </c>
      <c r="F23" s="14"/>
      <c r="G23" s="14"/>
      <c r="H23" s="14"/>
      <c r="I23" s="14"/>
      <c r="J23" s="14"/>
      <c r="K23" s="14"/>
      <c r="L23" s="14" t="s">
        <v>205</v>
      </c>
    </row>
    <row r="24" customFormat="false" ht="23.85" hidden="false" customHeight="false" outlineLevel="0" collapsed="false">
      <c r="A24" s="14" t="s">
        <v>206</v>
      </c>
      <c r="B24" s="14" t="s">
        <v>72</v>
      </c>
      <c r="C24" s="14" t="s">
        <v>207</v>
      </c>
      <c r="D24" s="14" t="s">
        <v>208</v>
      </c>
      <c r="E24" s="15" t="s">
        <v>34</v>
      </c>
      <c r="F24" s="14"/>
      <c r="G24" s="14"/>
      <c r="H24" s="14"/>
      <c r="I24" s="14"/>
      <c r="J24" s="14"/>
      <c r="K24" s="14"/>
      <c r="L24" s="14" t="s">
        <v>209</v>
      </c>
    </row>
    <row r="25" customFormat="false" ht="15" hidden="false" customHeight="false" outlineLevel="0" collapsed="false">
      <c r="A25" s="14" t="s">
        <v>210</v>
      </c>
      <c r="B25" s="14" t="s">
        <v>72</v>
      </c>
      <c r="C25" s="14" t="s">
        <v>211</v>
      </c>
      <c r="D25" s="14" t="s">
        <v>208</v>
      </c>
      <c r="E25" s="15" t="s">
        <v>34</v>
      </c>
      <c r="F25" s="14"/>
      <c r="G25" s="14"/>
      <c r="H25" s="14"/>
      <c r="I25" s="14"/>
      <c r="J25" s="14"/>
      <c r="K25" s="14"/>
      <c r="L25" s="14" t="s">
        <v>212</v>
      </c>
    </row>
    <row r="26" customFormat="false" ht="15" hidden="false" customHeight="false" outlineLevel="0" collapsed="false">
      <c r="A26" s="14" t="s">
        <v>213</v>
      </c>
      <c r="B26" s="14" t="s">
        <v>72</v>
      </c>
      <c r="C26" s="14" t="s">
        <v>214</v>
      </c>
      <c r="D26" s="14" t="s">
        <v>208</v>
      </c>
      <c r="E26" s="15" t="s">
        <v>34</v>
      </c>
      <c r="F26" s="14"/>
      <c r="G26" s="14"/>
      <c r="H26" s="14"/>
      <c r="I26" s="14"/>
      <c r="J26" s="14"/>
      <c r="K26" s="14"/>
      <c r="L26" s="14" t="s">
        <v>212</v>
      </c>
    </row>
    <row r="27" customFormat="false" ht="23.85" hidden="false" customHeight="false" outlineLevel="0" collapsed="false">
      <c r="A27" s="14" t="s">
        <v>215</v>
      </c>
      <c r="B27" s="14" t="s">
        <v>72</v>
      </c>
      <c r="C27" s="14" t="s">
        <v>216</v>
      </c>
      <c r="D27" s="14" t="s">
        <v>217</v>
      </c>
      <c r="E27" s="15" t="s">
        <v>34</v>
      </c>
      <c r="F27" s="14"/>
      <c r="G27" s="14"/>
      <c r="H27" s="14"/>
      <c r="I27" s="14"/>
      <c r="J27" s="14"/>
      <c r="K27" s="14"/>
      <c r="L27" s="14" t="s">
        <v>218</v>
      </c>
    </row>
    <row r="28" customFormat="false" ht="23.85" hidden="false" customHeight="false" outlineLevel="0" collapsed="false">
      <c r="A28" s="14" t="s">
        <v>219</v>
      </c>
      <c r="B28" s="14" t="s">
        <v>72</v>
      </c>
      <c r="C28" s="14" t="s">
        <v>220</v>
      </c>
      <c r="D28" s="14" t="s">
        <v>221</v>
      </c>
      <c r="E28" s="15" t="s">
        <v>34</v>
      </c>
      <c r="F28" s="14"/>
      <c r="G28" s="14"/>
      <c r="H28" s="14"/>
      <c r="I28" s="14"/>
      <c r="J28" s="14"/>
      <c r="K28" s="14"/>
      <c r="L28" s="14" t="s">
        <v>218</v>
      </c>
    </row>
    <row r="29" customFormat="false" ht="15" hidden="false" customHeight="false" outlineLevel="0" collapsed="false">
      <c r="A29" s="14" t="s">
        <v>222</v>
      </c>
      <c r="B29" s="14" t="s">
        <v>72</v>
      </c>
      <c r="C29" s="14" t="s">
        <v>223</v>
      </c>
      <c r="D29" s="14" t="s">
        <v>224</v>
      </c>
      <c r="E29" s="15" t="s">
        <v>34</v>
      </c>
      <c r="F29" s="14"/>
      <c r="G29" s="14"/>
      <c r="H29" s="14"/>
      <c r="I29" s="14"/>
      <c r="J29" s="14"/>
      <c r="K29" s="14"/>
      <c r="L29" s="14" t="s">
        <v>225</v>
      </c>
    </row>
    <row r="30" customFormat="false" ht="23.85" hidden="false" customHeight="false" outlineLevel="0" collapsed="false">
      <c r="A30" s="14" t="s">
        <v>226</v>
      </c>
      <c r="B30" s="14" t="s">
        <v>72</v>
      </c>
      <c r="C30" s="14" t="s">
        <v>178</v>
      </c>
      <c r="D30" s="14"/>
      <c r="E30" s="15" t="s">
        <v>30</v>
      </c>
      <c r="F30" s="14" t="s">
        <v>50</v>
      </c>
      <c r="G30" s="14" t="s">
        <v>227</v>
      </c>
      <c r="H30" s="14" t="s">
        <v>228</v>
      </c>
      <c r="I30" s="14" t="s">
        <v>77</v>
      </c>
      <c r="J30" s="14" t="s">
        <v>229</v>
      </c>
      <c r="K30" s="14"/>
      <c r="L30" s="14" t="s">
        <v>230</v>
      </c>
    </row>
  </sheetData>
  <autoFilter ref="A1:L30"/>
  <conditionalFormatting sqref="E2:E30">
    <cfRule type="cellIs" priority="2" operator="equal" aboveAverage="0" equalAverage="0" bottom="0" percent="0" rank="0" text="" dxfId="8">
      <formula>"Mapped"</formula>
    </cfRule>
    <cfRule type="cellIs" priority="3" operator="equal" aboveAverage="0" equalAverage="0" bottom="0" percent="0" rank="0" text="" dxfId="9">
      <formula>"Constant"</formula>
    </cfRule>
    <cfRule type="cellIs" priority="4" operator="equal" aboveAverage="0" equalAverage="0" bottom="0" percent="0" rank="0" text="" dxfId="9">
      <formula>"Derived"</formula>
    </cfRule>
    <cfRule type="cellIs" priority="5" operator="equal" aboveAverage="0" equalAverage="0" bottom="0" percent="0" rank="0" text="" dxfId="10">
      <formula>"Not migrated"</formula>
    </cfRule>
    <cfRule type="cellIs" priority="6" operator="equal" aboveAverage="0" equalAverage="0" bottom="0" percent="0" rank="0" text="" dxfId="11">
      <formula>"Deferred"</formula>
    </cfRule>
  </conditionalFormatting>
  <dataValidations count="1">
    <dataValidation allowBlank="true" errorStyle="stop" operator="between" showDropDown="false" showErrorMessage="false" showInputMessage="false" sqref="E2:E30" type="list">
      <formula1>"Mapped,Constant,Derived,Not migrated,Deferred"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48"/>
    <col collapsed="false" customWidth="true" hidden="false" outlineLevel="0" max="11" min="11" style="0" width="12"/>
    <col collapsed="false" customWidth="true" hidden="false" outlineLevel="0" max="12" min="12" style="0" width="46"/>
  </cols>
  <sheetData>
    <row r="1" customFormat="false" ht="30" hidden="false" customHeight="true" outlineLevel="0" collapsed="false">
      <c r="A1" s="13" t="s">
        <v>59</v>
      </c>
      <c r="B1" s="13" t="s">
        <v>60</v>
      </c>
      <c r="C1" s="13" t="s">
        <v>61</v>
      </c>
      <c r="D1" s="13" t="s">
        <v>62</v>
      </c>
      <c r="E1" s="13" t="s">
        <v>63</v>
      </c>
      <c r="F1" s="13" t="s">
        <v>64</v>
      </c>
      <c r="G1" s="13" t="s">
        <v>65</v>
      </c>
      <c r="H1" s="13" t="s">
        <v>66</v>
      </c>
      <c r="I1" s="13" t="s">
        <v>67</v>
      </c>
      <c r="J1" s="13" t="s">
        <v>68</v>
      </c>
      <c r="K1" s="13" t="s">
        <v>69</v>
      </c>
      <c r="L1" s="13" t="s">
        <v>70</v>
      </c>
    </row>
    <row r="2" customFormat="false" ht="23.85" hidden="false" customHeight="false" outlineLevel="0" collapsed="false">
      <c r="A2" s="14" t="s">
        <v>231</v>
      </c>
      <c r="B2" s="14" t="s">
        <v>232</v>
      </c>
      <c r="C2" s="14" t="s">
        <v>73</v>
      </c>
      <c r="D2" s="14" t="s">
        <v>233</v>
      </c>
      <c r="E2" s="15" t="s">
        <v>28</v>
      </c>
      <c r="F2" s="14" t="s">
        <v>51</v>
      </c>
      <c r="G2" s="14" t="s">
        <v>75</v>
      </c>
      <c r="H2" s="14" t="s">
        <v>76</v>
      </c>
      <c r="I2" s="14" t="s">
        <v>77</v>
      </c>
      <c r="J2" s="14" t="s">
        <v>234</v>
      </c>
      <c r="K2" s="14"/>
      <c r="L2" s="14" t="s">
        <v>235</v>
      </c>
    </row>
    <row r="3" customFormat="false" ht="35.05" hidden="false" customHeight="false" outlineLevel="0" collapsed="false">
      <c r="A3" s="14" t="s">
        <v>236</v>
      </c>
      <c r="B3" s="14" t="s">
        <v>232</v>
      </c>
      <c r="C3" s="14" t="s">
        <v>237</v>
      </c>
      <c r="D3" s="14" t="s">
        <v>238</v>
      </c>
      <c r="E3" s="15" t="s">
        <v>28</v>
      </c>
      <c r="F3" s="14" t="s">
        <v>51</v>
      </c>
      <c r="G3" s="14" t="s">
        <v>239</v>
      </c>
      <c r="H3" s="14" t="s">
        <v>240</v>
      </c>
      <c r="I3" s="14" t="s">
        <v>86</v>
      </c>
      <c r="J3" s="14" t="s">
        <v>241</v>
      </c>
      <c r="K3" s="14" t="s">
        <v>242</v>
      </c>
      <c r="L3" s="14" t="s">
        <v>243</v>
      </c>
    </row>
    <row r="4" customFormat="false" ht="15" hidden="false" customHeight="false" outlineLevel="0" collapsed="false">
      <c r="A4" s="14" t="s">
        <v>244</v>
      </c>
      <c r="B4" s="14" t="s">
        <v>232</v>
      </c>
      <c r="C4" s="14" t="s">
        <v>245</v>
      </c>
      <c r="D4" s="14" t="s">
        <v>246</v>
      </c>
      <c r="E4" s="15" t="s">
        <v>28</v>
      </c>
      <c r="F4" s="14" t="s">
        <v>51</v>
      </c>
      <c r="G4" s="14" t="s">
        <v>247</v>
      </c>
      <c r="H4" s="14" t="s">
        <v>94</v>
      </c>
      <c r="I4" s="14" t="s">
        <v>86</v>
      </c>
      <c r="J4" s="14" t="s">
        <v>248</v>
      </c>
      <c r="K4" s="14" t="s">
        <v>249</v>
      </c>
      <c r="L4" s="14"/>
    </row>
    <row r="5" customFormat="false" ht="15" hidden="false" customHeight="false" outlineLevel="0" collapsed="false">
      <c r="A5" s="14" t="s">
        <v>250</v>
      </c>
      <c r="B5" s="14" t="s">
        <v>232</v>
      </c>
      <c r="C5" s="14" t="s">
        <v>251</v>
      </c>
      <c r="D5" s="14" t="s">
        <v>252</v>
      </c>
      <c r="E5" s="15" t="s">
        <v>28</v>
      </c>
      <c r="F5" s="14" t="s">
        <v>51</v>
      </c>
      <c r="G5" s="14" t="s">
        <v>253</v>
      </c>
      <c r="H5" s="14" t="s">
        <v>94</v>
      </c>
      <c r="I5" s="14" t="s">
        <v>77</v>
      </c>
      <c r="J5" s="14" t="s">
        <v>254</v>
      </c>
      <c r="K5" s="14" t="s">
        <v>255</v>
      </c>
      <c r="L5" s="14"/>
    </row>
    <row r="6" customFormat="false" ht="15" hidden="false" customHeight="false" outlineLevel="0" collapsed="false">
      <c r="A6" s="14" t="s">
        <v>256</v>
      </c>
      <c r="B6" s="14" t="s">
        <v>232</v>
      </c>
      <c r="C6" s="14" t="s">
        <v>257</v>
      </c>
      <c r="D6" s="14"/>
      <c r="E6" s="15" t="s">
        <v>32</v>
      </c>
      <c r="F6" s="14" t="s">
        <v>51</v>
      </c>
      <c r="G6" s="14" t="s">
        <v>258</v>
      </c>
      <c r="H6" s="14" t="s">
        <v>144</v>
      </c>
      <c r="I6" s="14" t="s">
        <v>259</v>
      </c>
      <c r="J6" s="14" t="s">
        <v>260</v>
      </c>
      <c r="K6" s="14"/>
      <c r="L6" s="14" t="s">
        <v>261</v>
      </c>
    </row>
    <row r="7" customFormat="false" ht="35.05" hidden="false" customHeight="false" outlineLevel="0" collapsed="false">
      <c r="A7" s="14" t="s">
        <v>262</v>
      </c>
      <c r="B7" s="14" t="s">
        <v>232</v>
      </c>
      <c r="C7" s="14" t="s">
        <v>263</v>
      </c>
      <c r="D7" s="14" t="s">
        <v>264</v>
      </c>
      <c r="E7" s="15" t="s">
        <v>28</v>
      </c>
      <c r="F7" s="14" t="s">
        <v>51</v>
      </c>
      <c r="G7" s="14" t="s">
        <v>265</v>
      </c>
      <c r="H7" s="14" t="s">
        <v>228</v>
      </c>
      <c r="I7" s="14" t="s">
        <v>259</v>
      </c>
      <c r="J7" s="14" t="s">
        <v>266</v>
      </c>
      <c r="K7" s="14" t="s">
        <v>267</v>
      </c>
      <c r="L7" s="14" t="s">
        <v>268</v>
      </c>
    </row>
    <row r="8" customFormat="false" ht="23.85" hidden="false" customHeight="false" outlineLevel="0" collapsed="false">
      <c r="A8" s="14" t="s">
        <v>269</v>
      </c>
      <c r="B8" s="14" t="s">
        <v>232</v>
      </c>
      <c r="C8" s="14" t="s">
        <v>270</v>
      </c>
      <c r="D8" s="14" t="s">
        <v>271</v>
      </c>
      <c r="E8" s="15" t="s">
        <v>28</v>
      </c>
      <c r="F8" s="14" t="s">
        <v>51</v>
      </c>
      <c r="G8" s="14" t="s">
        <v>272</v>
      </c>
      <c r="H8" s="14" t="s">
        <v>136</v>
      </c>
      <c r="I8" s="14" t="s">
        <v>77</v>
      </c>
      <c r="J8" s="14" t="s">
        <v>273</v>
      </c>
      <c r="K8" s="14"/>
      <c r="L8" s="14" t="s">
        <v>274</v>
      </c>
    </row>
    <row r="9" customFormat="false" ht="23.85" hidden="false" customHeight="false" outlineLevel="0" collapsed="false">
      <c r="A9" s="14" t="s">
        <v>275</v>
      </c>
      <c r="B9" s="14" t="s">
        <v>232</v>
      </c>
      <c r="C9" s="14" t="s">
        <v>276</v>
      </c>
      <c r="D9" s="14" t="s">
        <v>277</v>
      </c>
      <c r="E9" s="15" t="s">
        <v>28</v>
      </c>
      <c r="F9" s="14" t="s">
        <v>51</v>
      </c>
      <c r="G9" s="14" t="s">
        <v>278</v>
      </c>
      <c r="H9" s="14" t="s">
        <v>102</v>
      </c>
      <c r="I9" s="14" t="s">
        <v>77</v>
      </c>
      <c r="J9" s="14" t="s">
        <v>279</v>
      </c>
      <c r="K9" s="14"/>
      <c r="L9" s="14"/>
    </row>
    <row r="10" customFormat="false" ht="15" hidden="false" customHeight="false" outlineLevel="0" collapsed="false">
      <c r="A10" s="14" t="s">
        <v>280</v>
      </c>
      <c r="B10" s="14" t="s">
        <v>232</v>
      </c>
      <c r="C10" s="14" t="s">
        <v>281</v>
      </c>
      <c r="D10" s="14" t="s">
        <v>282</v>
      </c>
      <c r="E10" s="15" t="s">
        <v>28</v>
      </c>
      <c r="F10" s="14" t="s">
        <v>51</v>
      </c>
      <c r="G10" s="14" t="s">
        <v>283</v>
      </c>
      <c r="H10" s="14" t="s">
        <v>136</v>
      </c>
      <c r="I10" s="14" t="s">
        <v>77</v>
      </c>
      <c r="J10" s="14" t="s">
        <v>284</v>
      </c>
      <c r="K10" s="14"/>
      <c r="L10" s="14" t="s">
        <v>285</v>
      </c>
    </row>
    <row r="11" customFormat="false" ht="23.85" hidden="false" customHeight="false" outlineLevel="0" collapsed="false">
      <c r="A11" s="14" t="s">
        <v>286</v>
      </c>
      <c r="B11" s="14" t="s">
        <v>232</v>
      </c>
      <c r="C11" s="14" t="s">
        <v>287</v>
      </c>
      <c r="D11" s="14" t="s">
        <v>288</v>
      </c>
      <c r="E11" s="15" t="s">
        <v>28</v>
      </c>
      <c r="F11" s="14" t="s">
        <v>51</v>
      </c>
      <c r="G11" s="14" t="s">
        <v>289</v>
      </c>
      <c r="H11" s="14" t="s">
        <v>102</v>
      </c>
      <c r="I11" s="14" t="s">
        <v>77</v>
      </c>
      <c r="J11" s="14" t="s">
        <v>290</v>
      </c>
      <c r="K11" s="14"/>
      <c r="L11" s="14"/>
    </row>
    <row r="12" customFormat="false" ht="23.85" hidden="false" customHeight="false" outlineLevel="0" collapsed="false">
      <c r="A12" s="14" t="s">
        <v>291</v>
      </c>
      <c r="B12" s="14" t="s">
        <v>232</v>
      </c>
      <c r="C12" s="14" t="s">
        <v>292</v>
      </c>
      <c r="D12" s="14" t="s">
        <v>233</v>
      </c>
      <c r="E12" s="15" t="s">
        <v>36</v>
      </c>
      <c r="F12" s="14" t="s">
        <v>51</v>
      </c>
      <c r="G12" s="14" t="s">
        <v>293</v>
      </c>
      <c r="H12" s="14" t="s">
        <v>294</v>
      </c>
      <c r="I12" s="14" t="s">
        <v>77</v>
      </c>
      <c r="J12" s="14" t="s">
        <v>295</v>
      </c>
      <c r="K12" s="14"/>
      <c r="L12" s="14" t="s">
        <v>296</v>
      </c>
    </row>
    <row r="13" customFormat="false" ht="23.85" hidden="false" customHeight="false" outlineLevel="0" collapsed="false">
      <c r="A13" s="14" t="s">
        <v>297</v>
      </c>
      <c r="B13" s="14" t="s">
        <v>232</v>
      </c>
      <c r="C13" s="14" t="s">
        <v>298</v>
      </c>
      <c r="D13" s="14" t="s">
        <v>233</v>
      </c>
      <c r="E13" s="15" t="s">
        <v>36</v>
      </c>
      <c r="F13" s="14" t="s">
        <v>51</v>
      </c>
      <c r="G13" s="14" t="s">
        <v>299</v>
      </c>
      <c r="H13" s="14" t="s">
        <v>300</v>
      </c>
      <c r="I13" s="14" t="s">
        <v>77</v>
      </c>
      <c r="J13" s="14" t="s">
        <v>301</v>
      </c>
      <c r="K13" s="14"/>
      <c r="L13" s="14" t="s">
        <v>302</v>
      </c>
    </row>
    <row r="14" customFormat="false" ht="23.85" hidden="false" customHeight="false" outlineLevel="0" collapsed="false">
      <c r="A14" s="14" t="s">
        <v>303</v>
      </c>
      <c r="B14" s="14" t="s">
        <v>232</v>
      </c>
      <c r="C14" s="14" t="s">
        <v>304</v>
      </c>
      <c r="D14" s="14" t="s">
        <v>233</v>
      </c>
      <c r="E14" s="15" t="s">
        <v>34</v>
      </c>
      <c r="F14" s="14"/>
      <c r="G14" s="14"/>
      <c r="H14" s="14"/>
      <c r="I14" s="14"/>
      <c r="J14" s="14"/>
      <c r="K14" s="14"/>
      <c r="L14" s="14" t="s">
        <v>305</v>
      </c>
    </row>
    <row r="15" customFormat="false" ht="23.85" hidden="false" customHeight="false" outlineLevel="0" collapsed="false">
      <c r="A15" s="14" t="s">
        <v>306</v>
      </c>
      <c r="B15" s="14" t="s">
        <v>232</v>
      </c>
      <c r="C15" s="14" t="s">
        <v>307</v>
      </c>
      <c r="D15" s="14" t="s">
        <v>308</v>
      </c>
      <c r="E15" s="15" t="s">
        <v>34</v>
      </c>
      <c r="F15" s="14"/>
      <c r="G15" s="14"/>
      <c r="H15" s="14"/>
      <c r="I15" s="14"/>
      <c r="J15" s="14"/>
      <c r="K15" s="14"/>
      <c r="L15" s="14" t="s">
        <v>309</v>
      </c>
    </row>
    <row r="16" customFormat="false" ht="23.85" hidden="false" customHeight="false" outlineLevel="0" collapsed="false">
      <c r="A16" s="14" t="s">
        <v>310</v>
      </c>
      <c r="B16" s="14" t="s">
        <v>232</v>
      </c>
      <c r="C16" s="14" t="s">
        <v>311</v>
      </c>
      <c r="D16" s="14" t="s">
        <v>308</v>
      </c>
      <c r="E16" s="15" t="s">
        <v>34</v>
      </c>
      <c r="F16" s="14"/>
      <c r="G16" s="14"/>
      <c r="H16" s="14"/>
      <c r="I16" s="14"/>
      <c r="J16" s="14"/>
      <c r="K16" s="14"/>
      <c r="L16" s="14" t="s">
        <v>312</v>
      </c>
    </row>
    <row r="17" customFormat="false" ht="15" hidden="false" customHeight="false" outlineLevel="0" collapsed="false">
      <c r="A17" s="14" t="s">
        <v>313</v>
      </c>
      <c r="B17" s="14" t="s">
        <v>232</v>
      </c>
      <c r="C17" s="14" t="s">
        <v>314</v>
      </c>
      <c r="D17" s="14" t="s">
        <v>315</v>
      </c>
      <c r="E17" s="15" t="s">
        <v>34</v>
      </c>
      <c r="F17" s="14"/>
      <c r="G17" s="14"/>
      <c r="H17" s="14"/>
      <c r="I17" s="14"/>
      <c r="J17" s="14"/>
      <c r="K17" s="14"/>
      <c r="L17" s="14" t="s">
        <v>312</v>
      </c>
    </row>
    <row r="18" customFormat="false" ht="23.85" hidden="false" customHeight="false" outlineLevel="0" collapsed="false">
      <c r="A18" s="14" t="s">
        <v>316</v>
      </c>
      <c r="B18" s="14" t="s">
        <v>232</v>
      </c>
      <c r="C18" s="14" t="s">
        <v>178</v>
      </c>
      <c r="D18" s="14"/>
      <c r="E18" s="15" t="s">
        <v>30</v>
      </c>
      <c r="F18" s="14" t="s">
        <v>51</v>
      </c>
      <c r="G18" s="14" t="s">
        <v>227</v>
      </c>
      <c r="H18" s="14" t="s">
        <v>228</v>
      </c>
      <c r="I18" s="14" t="s">
        <v>77</v>
      </c>
      <c r="J18" s="14" t="s">
        <v>229</v>
      </c>
      <c r="K18" s="14"/>
      <c r="L18" s="14"/>
    </row>
  </sheetData>
  <autoFilter ref="A1:L18"/>
  <conditionalFormatting sqref="E2:E18">
    <cfRule type="cellIs" priority="2" operator="equal" aboveAverage="0" equalAverage="0" bottom="0" percent="0" rank="0" text="" dxfId="8">
      <formula>"Mapped"</formula>
    </cfRule>
    <cfRule type="cellIs" priority="3" operator="equal" aboveAverage="0" equalAverage="0" bottom="0" percent="0" rank="0" text="" dxfId="9">
      <formula>"Constant"</formula>
    </cfRule>
    <cfRule type="cellIs" priority="4" operator="equal" aboveAverage="0" equalAverage="0" bottom="0" percent="0" rank="0" text="" dxfId="9">
      <formula>"Derived"</formula>
    </cfRule>
    <cfRule type="cellIs" priority="5" operator="equal" aboveAverage="0" equalAverage="0" bottom="0" percent="0" rank="0" text="" dxfId="10">
      <formula>"Not migrated"</formula>
    </cfRule>
    <cfRule type="cellIs" priority="6" operator="equal" aboveAverage="0" equalAverage="0" bottom="0" percent="0" rank="0" text="" dxfId="11">
      <formula>"Deferred"</formula>
    </cfRule>
  </conditionalFormatting>
  <dataValidations count="1">
    <dataValidation allowBlank="true" errorStyle="stop" operator="between" showDropDown="false" showErrorMessage="false" showInputMessage="false" sqref="E2:E18" type="list">
      <formula1>"Mapped,Constant,Derived,Not migrated,Deferred"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48"/>
    <col collapsed="false" customWidth="true" hidden="false" outlineLevel="0" max="11" min="11" style="0" width="12"/>
    <col collapsed="false" customWidth="true" hidden="false" outlineLevel="0" max="12" min="12" style="0" width="46"/>
  </cols>
  <sheetData>
    <row r="1" customFormat="false" ht="30" hidden="false" customHeight="true" outlineLevel="0" collapsed="false">
      <c r="A1" s="13" t="s">
        <v>59</v>
      </c>
      <c r="B1" s="13" t="s">
        <v>60</v>
      </c>
      <c r="C1" s="13" t="s">
        <v>61</v>
      </c>
      <c r="D1" s="13" t="s">
        <v>62</v>
      </c>
      <c r="E1" s="13" t="s">
        <v>63</v>
      </c>
      <c r="F1" s="13" t="s">
        <v>64</v>
      </c>
      <c r="G1" s="13" t="s">
        <v>65</v>
      </c>
      <c r="H1" s="13" t="s">
        <v>66</v>
      </c>
      <c r="I1" s="13" t="s">
        <v>67</v>
      </c>
      <c r="J1" s="13" t="s">
        <v>68</v>
      </c>
      <c r="K1" s="13" t="s">
        <v>69</v>
      </c>
      <c r="L1" s="13" t="s">
        <v>70</v>
      </c>
    </row>
    <row r="2" customFormat="false" ht="46.25" hidden="false" customHeight="false" outlineLevel="0" collapsed="false">
      <c r="A2" s="14" t="s">
        <v>317</v>
      </c>
      <c r="B2" s="14" t="s">
        <v>318</v>
      </c>
      <c r="C2" s="14" t="s">
        <v>319</v>
      </c>
      <c r="D2" s="14" t="s">
        <v>320</v>
      </c>
      <c r="E2" s="15" t="s">
        <v>32</v>
      </c>
      <c r="F2" s="14" t="s">
        <v>52</v>
      </c>
      <c r="G2" s="14" t="s">
        <v>75</v>
      </c>
      <c r="H2" s="14" t="s">
        <v>76</v>
      </c>
      <c r="I2" s="14" t="s">
        <v>77</v>
      </c>
      <c r="J2" s="14" t="s">
        <v>321</v>
      </c>
      <c r="K2" s="14" t="s">
        <v>322</v>
      </c>
      <c r="L2" s="14" t="s">
        <v>323</v>
      </c>
    </row>
    <row r="3" customFormat="false" ht="23.85" hidden="false" customHeight="false" outlineLevel="0" collapsed="false">
      <c r="A3" s="14" t="s">
        <v>324</v>
      </c>
      <c r="B3" s="14" t="s">
        <v>318</v>
      </c>
      <c r="C3" s="14" t="s">
        <v>237</v>
      </c>
      <c r="D3" s="14" t="s">
        <v>238</v>
      </c>
      <c r="E3" s="15" t="s">
        <v>28</v>
      </c>
      <c r="F3" s="14" t="s">
        <v>52</v>
      </c>
      <c r="G3" s="14" t="s">
        <v>239</v>
      </c>
      <c r="H3" s="14" t="s">
        <v>240</v>
      </c>
      <c r="I3" s="14" t="s">
        <v>259</v>
      </c>
      <c r="J3" s="14" t="s">
        <v>325</v>
      </c>
      <c r="K3" s="14" t="s">
        <v>326</v>
      </c>
      <c r="L3" s="14" t="s">
        <v>327</v>
      </c>
    </row>
    <row r="4" customFormat="false" ht="35.05" hidden="false" customHeight="false" outlineLevel="0" collapsed="false">
      <c r="A4" s="14" t="s">
        <v>328</v>
      </c>
      <c r="B4" s="14" t="s">
        <v>318</v>
      </c>
      <c r="C4" s="14" t="s">
        <v>329</v>
      </c>
      <c r="D4" s="14" t="s">
        <v>330</v>
      </c>
      <c r="E4" s="15" t="s">
        <v>28</v>
      </c>
      <c r="F4" s="14" t="s">
        <v>52</v>
      </c>
      <c r="G4" s="14" t="s">
        <v>331</v>
      </c>
      <c r="H4" s="14" t="s">
        <v>332</v>
      </c>
      <c r="I4" s="14" t="s">
        <v>77</v>
      </c>
      <c r="J4" s="14" t="s">
        <v>333</v>
      </c>
      <c r="K4" s="14" t="s">
        <v>334</v>
      </c>
      <c r="L4" s="14" t="s">
        <v>335</v>
      </c>
    </row>
    <row r="5" customFormat="false" ht="15" hidden="false" customHeight="false" outlineLevel="0" collapsed="false">
      <c r="A5" s="14" t="s">
        <v>336</v>
      </c>
      <c r="B5" s="14" t="s">
        <v>318</v>
      </c>
      <c r="C5" s="14" t="s">
        <v>245</v>
      </c>
      <c r="D5" s="14" t="s">
        <v>337</v>
      </c>
      <c r="E5" s="15" t="s">
        <v>28</v>
      </c>
      <c r="F5" s="14" t="s">
        <v>52</v>
      </c>
      <c r="G5" s="14" t="s">
        <v>338</v>
      </c>
      <c r="H5" s="14" t="s">
        <v>94</v>
      </c>
      <c r="I5" s="14" t="s">
        <v>77</v>
      </c>
      <c r="J5" s="14" t="s">
        <v>339</v>
      </c>
      <c r="K5" s="14" t="s">
        <v>340</v>
      </c>
      <c r="L5" s="14"/>
    </row>
    <row r="6" customFormat="false" ht="15" hidden="false" customHeight="false" outlineLevel="0" collapsed="false">
      <c r="A6" s="14" t="s">
        <v>341</v>
      </c>
      <c r="B6" s="14" t="s">
        <v>318</v>
      </c>
      <c r="C6" s="14" t="s">
        <v>251</v>
      </c>
      <c r="D6" s="14" t="s">
        <v>124</v>
      </c>
      <c r="E6" s="15" t="s">
        <v>28</v>
      </c>
      <c r="F6" s="14" t="s">
        <v>52</v>
      </c>
      <c r="G6" s="14" t="s">
        <v>342</v>
      </c>
      <c r="H6" s="14" t="s">
        <v>94</v>
      </c>
      <c r="I6" s="14" t="s">
        <v>77</v>
      </c>
      <c r="J6" s="14" t="s">
        <v>343</v>
      </c>
      <c r="K6" s="14"/>
      <c r="L6" s="14"/>
    </row>
    <row r="7" customFormat="false" ht="23.85" hidden="false" customHeight="false" outlineLevel="0" collapsed="false">
      <c r="A7" s="14" t="s">
        <v>344</v>
      </c>
      <c r="B7" s="14" t="s">
        <v>318</v>
      </c>
      <c r="C7" s="14" t="s">
        <v>257</v>
      </c>
      <c r="D7" s="14"/>
      <c r="E7" s="15" t="s">
        <v>32</v>
      </c>
      <c r="F7" s="14" t="s">
        <v>52</v>
      </c>
      <c r="G7" s="14" t="s">
        <v>345</v>
      </c>
      <c r="H7" s="14" t="s">
        <v>136</v>
      </c>
      <c r="I7" s="14" t="s">
        <v>86</v>
      </c>
      <c r="J7" s="14" t="s">
        <v>346</v>
      </c>
      <c r="K7" s="14"/>
      <c r="L7" s="14" t="s">
        <v>347</v>
      </c>
    </row>
    <row r="8" customFormat="false" ht="35.05" hidden="false" customHeight="false" outlineLevel="0" collapsed="false">
      <c r="A8" s="14" t="s">
        <v>348</v>
      </c>
      <c r="B8" s="14" t="s">
        <v>318</v>
      </c>
      <c r="C8" s="14" t="s">
        <v>178</v>
      </c>
      <c r="D8" s="14"/>
      <c r="E8" s="15" t="s">
        <v>30</v>
      </c>
      <c r="F8" s="14" t="s">
        <v>52</v>
      </c>
      <c r="G8" s="14" t="s">
        <v>349</v>
      </c>
      <c r="H8" s="14" t="s">
        <v>136</v>
      </c>
      <c r="I8" s="14" t="s">
        <v>77</v>
      </c>
      <c r="J8" s="14" t="s">
        <v>350</v>
      </c>
      <c r="K8" s="14"/>
      <c r="L8" s="14" t="s">
        <v>351</v>
      </c>
    </row>
    <row r="9" customFormat="false" ht="23.85" hidden="false" customHeight="false" outlineLevel="0" collapsed="false">
      <c r="A9" s="14" t="s">
        <v>352</v>
      </c>
      <c r="B9" s="14" t="s">
        <v>318</v>
      </c>
      <c r="C9" s="14" t="s">
        <v>178</v>
      </c>
      <c r="D9" s="14"/>
      <c r="E9" s="15" t="s">
        <v>30</v>
      </c>
      <c r="F9" s="14" t="s">
        <v>52</v>
      </c>
      <c r="G9" s="14" t="s">
        <v>353</v>
      </c>
      <c r="H9" s="14" t="s">
        <v>136</v>
      </c>
      <c r="I9" s="14" t="s">
        <v>77</v>
      </c>
      <c r="J9" s="14" t="s">
        <v>354</v>
      </c>
      <c r="K9" s="14"/>
      <c r="L9" s="14" t="s">
        <v>355</v>
      </c>
    </row>
    <row r="10" customFormat="false" ht="35.05" hidden="false" customHeight="false" outlineLevel="0" collapsed="false">
      <c r="A10" s="14" t="s">
        <v>356</v>
      </c>
      <c r="B10" s="14" t="s">
        <v>318</v>
      </c>
      <c r="C10" s="14" t="s">
        <v>357</v>
      </c>
      <c r="D10" s="14" t="s">
        <v>358</v>
      </c>
      <c r="E10" s="15" t="s">
        <v>28</v>
      </c>
      <c r="F10" s="14" t="s">
        <v>52</v>
      </c>
      <c r="G10" s="14" t="s">
        <v>359</v>
      </c>
      <c r="H10" s="14" t="s">
        <v>360</v>
      </c>
      <c r="I10" s="14" t="s">
        <v>77</v>
      </c>
      <c r="J10" s="14" t="s">
        <v>361</v>
      </c>
      <c r="K10" s="14" t="s">
        <v>362</v>
      </c>
      <c r="L10" s="14" t="s">
        <v>363</v>
      </c>
    </row>
    <row r="11" customFormat="false" ht="23.85" hidden="false" customHeight="false" outlineLevel="0" collapsed="false">
      <c r="A11" s="14" t="s">
        <v>364</v>
      </c>
      <c r="B11" s="14" t="s">
        <v>318</v>
      </c>
      <c r="C11" s="14" t="s">
        <v>270</v>
      </c>
      <c r="D11" s="14" t="s">
        <v>365</v>
      </c>
      <c r="E11" s="15" t="s">
        <v>28</v>
      </c>
      <c r="F11" s="14" t="s">
        <v>52</v>
      </c>
      <c r="G11" s="14" t="s">
        <v>366</v>
      </c>
      <c r="H11" s="14" t="s">
        <v>144</v>
      </c>
      <c r="I11" s="14" t="s">
        <v>86</v>
      </c>
      <c r="J11" s="14" t="s">
        <v>120</v>
      </c>
      <c r="K11" s="14" t="s">
        <v>367</v>
      </c>
      <c r="L11" s="14" t="s">
        <v>368</v>
      </c>
    </row>
    <row r="12" customFormat="false" ht="23.85" hidden="false" customHeight="false" outlineLevel="0" collapsed="false">
      <c r="A12" s="14" t="s">
        <v>369</v>
      </c>
      <c r="B12" s="14" t="s">
        <v>318</v>
      </c>
      <c r="C12" s="14" t="s">
        <v>276</v>
      </c>
      <c r="D12" s="14" t="s">
        <v>370</v>
      </c>
      <c r="E12" s="15" t="s">
        <v>28</v>
      </c>
      <c r="F12" s="14" t="s">
        <v>52</v>
      </c>
      <c r="G12" s="14" t="s">
        <v>371</v>
      </c>
      <c r="H12" s="14" t="s">
        <v>102</v>
      </c>
      <c r="I12" s="14" t="s">
        <v>77</v>
      </c>
      <c r="J12" s="14" t="s">
        <v>372</v>
      </c>
      <c r="K12" s="14"/>
      <c r="L12" s="14"/>
    </row>
    <row r="13" customFormat="false" ht="23.85" hidden="false" customHeight="false" outlineLevel="0" collapsed="false">
      <c r="A13" s="14" t="s">
        <v>373</v>
      </c>
      <c r="B13" s="14" t="s">
        <v>318</v>
      </c>
      <c r="C13" s="14" t="s">
        <v>178</v>
      </c>
      <c r="D13" s="14"/>
      <c r="E13" s="15" t="s">
        <v>30</v>
      </c>
      <c r="F13" s="14" t="s">
        <v>52</v>
      </c>
      <c r="G13" s="14" t="s">
        <v>227</v>
      </c>
      <c r="H13" s="14" t="s">
        <v>228</v>
      </c>
      <c r="I13" s="14" t="s">
        <v>77</v>
      </c>
      <c r="J13" s="14" t="s">
        <v>229</v>
      </c>
      <c r="K13" s="14"/>
      <c r="L13" s="14"/>
    </row>
    <row r="14" customFormat="false" ht="23.85" hidden="false" customHeight="false" outlineLevel="0" collapsed="false">
      <c r="A14" s="14" t="s">
        <v>374</v>
      </c>
      <c r="B14" s="14" t="s">
        <v>318</v>
      </c>
      <c r="C14" s="14" t="s">
        <v>375</v>
      </c>
      <c r="D14" s="14"/>
      <c r="E14" s="15" t="s">
        <v>36</v>
      </c>
      <c r="F14" s="14" t="s">
        <v>52</v>
      </c>
      <c r="G14" s="14" t="s">
        <v>376</v>
      </c>
      <c r="H14" s="14" t="s">
        <v>228</v>
      </c>
      <c r="I14" s="14" t="s">
        <v>77</v>
      </c>
      <c r="J14" s="14" t="s">
        <v>377</v>
      </c>
      <c r="K14" s="14"/>
      <c r="L14" s="14" t="s">
        <v>378</v>
      </c>
    </row>
  </sheetData>
  <autoFilter ref="A1:L14"/>
  <conditionalFormatting sqref="E2:E14">
    <cfRule type="cellIs" priority="2" operator="equal" aboveAverage="0" equalAverage="0" bottom="0" percent="0" rank="0" text="" dxfId="8">
      <formula>"Mapped"</formula>
    </cfRule>
    <cfRule type="cellIs" priority="3" operator="equal" aboveAverage="0" equalAverage="0" bottom="0" percent="0" rank="0" text="" dxfId="9">
      <formula>"Constant"</formula>
    </cfRule>
    <cfRule type="cellIs" priority="4" operator="equal" aboveAverage="0" equalAverage="0" bottom="0" percent="0" rank="0" text="" dxfId="9">
      <formula>"Derived"</formula>
    </cfRule>
    <cfRule type="cellIs" priority="5" operator="equal" aboveAverage="0" equalAverage="0" bottom="0" percent="0" rank="0" text="" dxfId="10">
      <formula>"Not migrated"</formula>
    </cfRule>
    <cfRule type="cellIs" priority="6" operator="equal" aboveAverage="0" equalAverage="0" bottom="0" percent="0" rank="0" text="" dxfId="11">
      <formula>"Deferred"</formula>
    </cfRule>
  </conditionalFormatting>
  <dataValidations count="1">
    <dataValidation allowBlank="true" errorStyle="stop" operator="between" showDropDown="false" showErrorMessage="false" showInputMessage="false" sqref="E2:E14" type="list">
      <formula1>"Mapped,Constant,Derived,Not migrated,Deferred"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36"/>
  </cols>
  <sheetData>
    <row r="1" customFormat="false" ht="30" hidden="false" customHeight="true" outlineLevel="0" collapsed="false">
      <c r="A1" s="13" t="s">
        <v>379</v>
      </c>
      <c r="B1" s="13" t="s">
        <v>61</v>
      </c>
      <c r="C1" s="13" t="s">
        <v>380</v>
      </c>
      <c r="D1" s="13" t="s">
        <v>381</v>
      </c>
      <c r="E1" s="13" t="s">
        <v>382</v>
      </c>
      <c r="F1" s="13" t="s">
        <v>383</v>
      </c>
    </row>
    <row r="2" customFormat="false" ht="15" hidden="false" customHeight="false" outlineLevel="0" collapsed="false">
      <c r="A2" s="14" t="s">
        <v>384</v>
      </c>
      <c r="B2" s="14" t="s">
        <v>141</v>
      </c>
      <c r="C2" s="14" t="s">
        <v>134</v>
      </c>
      <c r="D2" s="15" t="s">
        <v>385</v>
      </c>
      <c r="E2" s="14" t="s">
        <v>386</v>
      </c>
      <c r="F2" s="14"/>
    </row>
    <row r="3" customFormat="false" ht="15" hidden="false" customHeight="false" outlineLevel="0" collapsed="false">
      <c r="A3" s="14" t="s">
        <v>384</v>
      </c>
      <c r="B3" s="14" t="s">
        <v>141</v>
      </c>
      <c r="C3" s="14" t="s">
        <v>142</v>
      </c>
      <c r="D3" s="15" t="s">
        <v>387</v>
      </c>
      <c r="E3" s="14" t="s">
        <v>386</v>
      </c>
      <c r="F3" s="14"/>
    </row>
    <row r="4" customFormat="false" ht="15" hidden="false" customHeight="false" outlineLevel="0" collapsed="false">
      <c r="A4" s="14" t="s">
        <v>384</v>
      </c>
      <c r="B4" s="14" t="s">
        <v>141</v>
      </c>
      <c r="C4" s="14" t="s">
        <v>388</v>
      </c>
      <c r="D4" s="15" t="s">
        <v>389</v>
      </c>
      <c r="E4" s="14"/>
      <c r="F4" s="14" t="s">
        <v>390</v>
      </c>
    </row>
    <row r="5" customFormat="false" ht="15" hidden="false" customHeight="false" outlineLevel="0" collapsed="false">
      <c r="A5" s="14" t="s">
        <v>391</v>
      </c>
      <c r="B5" s="14" t="s">
        <v>133</v>
      </c>
      <c r="C5" s="14" t="s">
        <v>134</v>
      </c>
      <c r="D5" s="15" t="s">
        <v>392</v>
      </c>
      <c r="E5" s="14" t="s">
        <v>393</v>
      </c>
      <c r="F5" s="14"/>
    </row>
    <row r="6" customFormat="false" ht="15" hidden="false" customHeight="false" outlineLevel="0" collapsed="false">
      <c r="A6" s="14" t="s">
        <v>391</v>
      </c>
      <c r="B6" s="14" t="s">
        <v>133</v>
      </c>
      <c r="C6" s="14" t="s">
        <v>394</v>
      </c>
      <c r="D6" s="15" t="s">
        <v>395</v>
      </c>
      <c r="E6" s="14" t="s">
        <v>393</v>
      </c>
      <c r="F6" s="14"/>
    </row>
    <row r="7" customFormat="false" ht="15" hidden="false" customHeight="false" outlineLevel="0" collapsed="false">
      <c r="A7" s="14" t="s">
        <v>391</v>
      </c>
      <c r="B7" s="14" t="s">
        <v>133</v>
      </c>
      <c r="C7" s="14" t="s">
        <v>396</v>
      </c>
      <c r="D7" s="15" t="s">
        <v>397</v>
      </c>
      <c r="E7" s="14" t="s">
        <v>393</v>
      </c>
      <c r="F7" s="14"/>
    </row>
    <row r="8" customFormat="false" ht="15" hidden="false" customHeight="false" outlineLevel="0" collapsed="false">
      <c r="A8" s="14" t="s">
        <v>391</v>
      </c>
      <c r="B8" s="14" t="s">
        <v>133</v>
      </c>
      <c r="C8" s="14" t="s">
        <v>398</v>
      </c>
      <c r="D8" s="15" t="s">
        <v>399</v>
      </c>
      <c r="E8" s="14" t="s">
        <v>393</v>
      </c>
      <c r="F8" s="14"/>
    </row>
    <row r="9" customFormat="false" ht="15" hidden="false" customHeight="false" outlineLevel="0" collapsed="false">
      <c r="A9" s="14" t="s">
        <v>391</v>
      </c>
      <c r="B9" s="14" t="s">
        <v>133</v>
      </c>
      <c r="C9" s="14" t="s">
        <v>124</v>
      </c>
      <c r="D9" s="15" t="s">
        <v>400</v>
      </c>
      <c r="E9" s="14"/>
      <c r="F9" s="14"/>
    </row>
    <row r="10" customFormat="false" ht="15" hidden="false" customHeight="false" outlineLevel="0" collapsed="false">
      <c r="A10" s="14" t="s">
        <v>401</v>
      </c>
      <c r="B10" s="14" t="s">
        <v>263</v>
      </c>
      <c r="C10" s="14" t="s">
        <v>402</v>
      </c>
      <c r="D10" s="15" t="s">
        <v>403</v>
      </c>
      <c r="E10" s="14" t="s">
        <v>404</v>
      </c>
      <c r="F10" s="14"/>
    </row>
    <row r="11" customFormat="false" ht="15" hidden="false" customHeight="false" outlineLevel="0" collapsed="false">
      <c r="A11" s="14" t="s">
        <v>401</v>
      </c>
      <c r="B11" s="14" t="s">
        <v>263</v>
      </c>
      <c r="C11" s="14" t="s">
        <v>264</v>
      </c>
      <c r="D11" s="15" t="s">
        <v>403</v>
      </c>
      <c r="E11" s="14" t="s">
        <v>404</v>
      </c>
      <c r="F11" s="14"/>
    </row>
    <row r="12" customFormat="false" ht="15" hidden="false" customHeight="false" outlineLevel="0" collapsed="false">
      <c r="A12" s="14" t="s">
        <v>401</v>
      </c>
      <c r="B12" s="14" t="s">
        <v>263</v>
      </c>
      <c r="C12" s="14" t="s">
        <v>405</v>
      </c>
      <c r="D12" s="15" t="s">
        <v>403</v>
      </c>
      <c r="E12" s="14" t="s">
        <v>404</v>
      </c>
      <c r="F12" s="14"/>
    </row>
    <row r="13" customFormat="false" ht="15" hidden="false" customHeight="false" outlineLevel="0" collapsed="false">
      <c r="A13" s="14" t="s">
        <v>401</v>
      </c>
      <c r="B13" s="14" t="s">
        <v>263</v>
      </c>
      <c r="C13" s="14" t="s">
        <v>406</v>
      </c>
      <c r="D13" s="15" t="s">
        <v>403</v>
      </c>
      <c r="E13" s="14" t="s">
        <v>404</v>
      </c>
      <c r="F13" s="14" t="s">
        <v>407</v>
      </c>
    </row>
    <row r="14" customFormat="false" ht="15" hidden="false" customHeight="false" outlineLevel="0" collapsed="false">
      <c r="A14" s="14" t="s">
        <v>401</v>
      </c>
      <c r="B14" s="14" t="s">
        <v>263</v>
      </c>
      <c r="C14" s="14" t="s">
        <v>408</v>
      </c>
      <c r="D14" s="15" t="s">
        <v>409</v>
      </c>
      <c r="E14" s="14" t="s">
        <v>404</v>
      </c>
      <c r="F14" s="14"/>
    </row>
    <row r="15" customFormat="false" ht="15" hidden="false" customHeight="false" outlineLevel="0" collapsed="false">
      <c r="A15" s="14" t="s">
        <v>401</v>
      </c>
      <c r="B15" s="14" t="s">
        <v>263</v>
      </c>
      <c r="C15" s="14" t="s">
        <v>410</v>
      </c>
      <c r="D15" s="15" t="s">
        <v>411</v>
      </c>
      <c r="E15" s="14" t="s">
        <v>404</v>
      </c>
      <c r="F15" s="14"/>
    </row>
    <row r="16" customFormat="false" ht="15" hidden="false" customHeight="false" outlineLevel="0" collapsed="false">
      <c r="A16" s="14" t="s">
        <v>401</v>
      </c>
      <c r="B16" s="14" t="s">
        <v>263</v>
      </c>
      <c r="C16" s="14" t="s">
        <v>412</v>
      </c>
      <c r="D16" s="15" t="s">
        <v>413</v>
      </c>
      <c r="E16" s="14" t="s">
        <v>404</v>
      </c>
      <c r="F16" s="14" t="s">
        <v>414</v>
      </c>
    </row>
    <row r="17" customFormat="false" ht="15" hidden="false" customHeight="false" outlineLevel="0" collapsed="false">
      <c r="A17" s="14" t="s">
        <v>401</v>
      </c>
      <c r="B17" s="14" t="s">
        <v>263</v>
      </c>
      <c r="C17" s="14" t="s">
        <v>415</v>
      </c>
      <c r="D17" s="15" t="s">
        <v>413</v>
      </c>
      <c r="E17" s="14" t="s">
        <v>404</v>
      </c>
      <c r="F17" s="14" t="s">
        <v>407</v>
      </c>
    </row>
    <row r="18" customFormat="false" ht="15" hidden="false" customHeight="false" outlineLevel="0" collapsed="false">
      <c r="A18" s="14" t="s">
        <v>401</v>
      </c>
      <c r="B18" s="14" t="s">
        <v>263</v>
      </c>
      <c r="C18" s="14" t="s">
        <v>416</v>
      </c>
      <c r="D18" s="15" t="s">
        <v>417</v>
      </c>
      <c r="E18" s="14" t="s">
        <v>404</v>
      </c>
      <c r="F18" s="14"/>
    </row>
    <row r="19" customFormat="false" ht="15" hidden="false" customHeight="false" outlineLevel="0" collapsed="false">
      <c r="A19" s="14" t="s">
        <v>401</v>
      </c>
      <c r="B19" s="14" t="s">
        <v>263</v>
      </c>
      <c r="C19" s="14" t="s">
        <v>418</v>
      </c>
      <c r="D19" s="15" t="s">
        <v>419</v>
      </c>
      <c r="E19" s="14" t="s">
        <v>404</v>
      </c>
      <c r="F19" s="14"/>
    </row>
    <row r="20" customFormat="false" ht="15" hidden="false" customHeight="false" outlineLevel="0" collapsed="false">
      <c r="A20" s="14" t="s">
        <v>401</v>
      </c>
      <c r="B20" s="14" t="s">
        <v>263</v>
      </c>
      <c r="C20" s="14" t="s">
        <v>388</v>
      </c>
      <c r="D20" s="15" t="s">
        <v>389</v>
      </c>
      <c r="E20" s="14"/>
      <c r="F20" s="14" t="s">
        <v>420</v>
      </c>
    </row>
    <row r="21" customFormat="false" ht="15" hidden="false" customHeight="false" outlineLevel="0" collapsed="false">
      <c r="A21" s="14" t="s">
        <v>421</v>
      </c>
      <c r="B21" s="14" t="s">
        <v>161</v>
      </c>
      <c r="C21" s="14" t="s">
        <v>162</v>
      </c>
      <c r="D21" s="15" t="s">
        <v>422</v>
      </c>
      <c r="E21" s="14" t="s">
        <v>423</v>
      </c>
      <c r="F21" s="14" t="s">
        <v>424</v>
      </c>
    </row>
    <row r="22" customFormat="false" ht="15" hidden="false" customHeight="false" outlineLevel="0" collapsed="false">
      <c r="A22" s="14" t="s">
        <v>425</v>
      </c>
      <c r="B22" s="14" t="s">
        <v>426</v>
      </c>
      <c r="C22" s="14" t="s">
        <v>124</v>
      </c>
      <c r="D22" s="15" t="s">
        <v>427</v>
      </c>
      <c r="E22" s="14" t="s">
        <v>428</v>
      </c>
      <c r="F22" s="14"/>
    </row>
    <row r="23" customFormat="false" ht="15" hidden="false" customHeight="false" outlineLevel="0" collapsed="false">
      <c r="A23" s="14" t="s">
        <v>425</v>
      </c>
      <c r="B23" s="14" t="s">
        <v>426</v>
      </c>
      <c r="C23" s="14" t="s">
        <v>429</v>
      </c>
      <c r="D23" s="15" t="s">
        <v>430</v>
      </c>
      <c r="E23" s="14" t="s">
        <v>428</v>
      </c>
      <c r="F23" s="14"/>
    </row>
    <row r="24" customFormat="false" ht="15" hidden="false" customHeight="false" outlineLevel="0" collapsed="false">
      <c r="A24" s="14" t="s">
        <v>431</v>
      </c>
      <c r="B24" s="14" t="s">
        <v>357</v>
      </c>
      <c r="C24" s="14" t="s">
        <v>432</v>
      </c>
      <c r="D24" s="15" t="s">
        <v>433</v>
      </c>
      <c r="E24" s="14"/>
      <c r="F24" s="14"/>
    </row>
    <row r="25" customFormat="false" ht="15" hidden="false" customHeight="false" outlineLevel="0" collapsed="false">
      <c r="A25" s="14" t="s">
        <v>431</v>
      </c>
      <c r="B25" s="14" t="s">
        <v>357</v>
      </c>
      <c r="C25" s="14" t="s">
        <v>434</v>
      </c>
      <c r="D25" s="15" t="s">
        <v>435</v>
      </c>
      <c r="E25" s="14"/>
      <c r="F25" s="14"/>
    </row>
  </sheetData>
  <autoFilter ref="A1:F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58"/>
  </cols>
  <sheetData>
    <row r="1" customFormat="false" ht="30" hidden="false" customHeight="true" outlineLevel="0" collapsed="false">
      <c r="A1" s="13" t="s">
        <v>436</v>
      </c>
      <c r="B1" s="13" t="s">
        <v>48</v>
      </c>
      <c r="C1" s="13" t="s">
        <v>437</v>
      </c>
      <c r="D1" s="13" t="s">
        <v>438</v>
      </c>
      <c r="E1" s="13" t="s">
        <v>439</v>
      </c>
      <c r="F1" s="13" t="s">
        <v>440</v>
      </c>
      <c r="G1" s="13" t="s">
        <v>441</v>
      </c>
    </row>
    <row r="2" customFormat="false" ht="15" hidden="false" customHeight="false" outlineLevel="0" collapsed="false">
      <c r="A2" s="14" t="s">
        <v>442</v>
      </c>
      <c r="B2" s="14" t="s">
        <v>72</v>
      </c>
      <c r="C2" s="14" t="s">
        <v>443</v>
      </c>
      <c r="D2" s="15" t="s">
        <v>39</v>
      </c>
      <c r="E2" s="14" t="s">
        <v>444</v>
      </c>
      <c r="F2" s="14" t="s">
        <v>445</v>
      </c>
      <c r="G2" s="14" t="s">
        <v>446</v>
      </c>
    </row>
    <row r="3" customFormat="false" ht="15" hidden="false" customHeight="false" outlineLevel="0" collapsed="false">
      <c r="A3" s="14" t="s">
        <v>447</v>
      </c>
      <c r="B3" s="14" t="s">
        <v>72</v>
      </c>
      <c r="C3" s="14" t="s">
        <v>448</v>
      </c>
      <c r="D3" s="15" t="s">
        <v>41</v>
      </c>
      <c r="E3" s="14" t="s">
        <v>449</v>
      </c>
      <c r="F3" s="14" t="s">
        <v>450</v>
      </c>
      <c r="G3" s="14" t="s">
        <v>451</v>
      </c>
    </row>
    <row r="4" customFormat="false" ht="15" hidden="false" customHeight="false" outlineLevel="0" collapsed="false">
      <c r="A4" s="14" t="s">
        <v>146</v>
      </c>
      <c r="B4" s="14" t="s">
        <v>72</v>
      </c>
      <c r="C4" s="14" t="s">
        <v>452</v>
      </c>
      <c r="D4" s="15" t="s">
        <v>39</v>
      </c>
      <c r="E4" s="14" t="s">
        <v>453</v>
      </c>
      <c r="F4" s="14" t="s">
        <v>454</v>
      </c>
      <c r="G4" s="14" t="s">
        <v>455</v>
      </c>
    </row>
    <row r="5" customFormat="false" ht="15" hidden="false" customHeight="false" outlineLevel="0" collapsed="false">
      <c r="A5" s="14" t="s">
        <v>153</v>
      </c>
      <c r="B5" s="14" t="s">
        <v>72</v>
      </c>
      <c r="C5" s="14" t="s">
        <v>456</v>
      </c>
      <c r="D5" s="15" t="s">
        <v>43</v>
      </c>
      <c r="E5" s="14" t="s">
        <v>457</v>
      </c>
      <c r="F5" s="14" t="s">
        <v>458</v>
      </c>
      <c r="G5" s="14" t="s">
        <v>459</v>
      </c>
    </row>
    <row r="6" customFormat="false" ht="15" hidden="false" customHeight="false" outlineLevel="0" collapsed="false">
      <c r="A6" s="14" t="s">
        <v>79</v>
      </c>
      <c r="B6" s="14" t="s">
        <v>72</v>
      </c>
      <c r="C6" s="14" t="s">
        <v>460</v>
      </c>
      <c r="D6" s="15" t="s">
        <v>41</v>
      </c>
      <c r="E6" s="14" t="s">
        <v>461</v>
      </c>
      <c r="F6" s="14" t="s">
        <v>462</v>
      </c>
      <c r="G6" s="14" t="s">
        <v>463</v>
      </c>
    </row>
    <row r="7" customFormat="false" ht="23.85" hidden="false" customHeight="false" outlineLevel="0" collapsed="false">
      <c r="A7" s="14" t="s">
        <v>96</v>
      </c>
      <c r="B7" s="14" t="s">
        <v>72</v>
      </c>
      <c r="C7" s="14" t="s">
        <v>464</v>
      </c>
      <c r="D7" s="15" t="s">
        <v>39</v>
      </c>
      <c r="E7" s="14" t="s">
        <v>465</v>
      </c>
      <c r="F7" s="14" t="s">
        <v>466</v>
      </c>
      <c r="G7" s="14" t="s">
        <v>467</v>
      </c>
    </row>
    <row r="8" customFormat="false" ht="15" hidden="false" customHeight="false" outlineLevel="0" collapsed="false">
      <c r="A8" s="14" t="s">
        <v>109</v>
      </c>
      <c r="B8" s="14" t="s">
        <v>72</v>
      </c>
      <c r="C8" s="14" t="s">
        <v>468</v>
      </c>
      <c r="D8" s="15" t="s">
        <v>39</v>
      </c>
      <c r="E8" s="14" t="s">
        <v>465</v>
      </c>
      <c r="F8" s="14" t="s">
        <v>466</v>
      </c>
      <c r="G8" s="14" t="s">
        <v>469</v>
      </c>
    </row>
    <row r="9" customFormat="false" ht="15" hidden="false" customHeight="false" outlineLevel="0" collapsed="false">
      <c r="A9" s="14" t="s">
        <v>138</v>
      </c>
      <c r="B9" s="14" t="s">
        <v>72</v>
      </c>
      <c r="C9" s="14" t="s">
        <v>470</v>
      </c>
      <c r="D9" s="15" t="s">
        <v>43</v>
      </c>
      <c r="E9" s="14" t="s">
        <v>465</v>
      </c>
      <c r="F9" s="14" t="s">
        <v>466</v>
      </c>
      <c r="G9" s="14" t="s">
        <v>471</v>
      </c>
    </row>
    <row r="10" customFormat="false" ht="15" hidden="false" customHeight="false" outlineLevel="0" collapsed="false">
      <c r="A10" s="14" t="s">
        <v>472</v>
      </c>
      <c r="B10" s="14" t="s">
        <v>232</v>
      </c>
      <c r="C10" s="14" t="s">
        <v>473</v>
      </c>
      <c r="D10" s="15" t="s">
        <v>39</v>
      </c>
      <c r="E10" s="14" t="s">
        <v>474</v>
      </c>
      <c r="F10" s="14" t="s">
        <v>475</v>
      </c>
      <c r="G10" s="14" t="s">
        <v>476</v>
      </c>
    </row>
    <row r="11" customFormat="false" ht="15" hidden="false" customHeight="false" outlineLevel="0" collapsed="false">
      <c r="A11" s="14" t="s">
        <v>255</v>
      </c>
      <c r="B11" s="14" t="s">
        <v>232</v>
      </c>
      <c r="C11" s="14" t="s">
        <v>477</v>
      </c>
      <c r="D11" s="15" t="s">
        <v>43</v>
      </c>
      <c r="E11" s="14" t="s">
        <v>465</v>
      </c>
      <c r="F11" s="14" t="s">
        <v>466</v>
      </c>
      <c r="G11" s="14" t="s">
        <v>478</v>
      </c>
    </row>
    <row r="12" customFormat="false" ht="15" hidden="false" customHeight="false" outlineLevel="0" collapsed="false">
      <c r="A12" s="14" t="s">
        <v>267</v>
      </c>
      <c r="B12" s="14" t="s">
        <v>232</v>
      </c>
      <c r="C12" s="14" t="s">
        <v>479</v>
      </c>
      <c r="D12" s="15" t="s">
        <v>39</v>
      </c>
      <c r="E12" s="14" t="s">
        <v>465</v>
      </c>
      <c r="F12" s="14" t="s">
        <v>466</v>
      </c>
      <c r="G12" s="14" t="s">
        <v>480</v>
      </c>
    </row>
    <row r="13" customFormat="false" ht="23.85" hidden="false" customHeight="false" outlineLevel="0" collapsed="false">
      <c r="A13" s="14" t="s">
        <v>481</v>
      </c>
      <c r="B13" s="14" t="s">
        <v>232</v>
      </c>
      <c r="C13" s="14" t="s">
        <v>482</v>
      </c>
      <c r="D13" s="15" t="s">
        <v>55</v>
      </c>
      <c r="E13" s="14" t="s">
        <v>465</v>
      </c>
      <c r="F13" s="14" t="s">
        <v>483</v>
      </c>
      <c r="G13" s="14" t="s">
        <v>484</v>
      </c>
    </row>
    <row r="14" customFormat="false" ht="15" hidden="false" customHeight="false" outlineLevel="0" collapsed="false">
      <c r="A14" s="14" t="s">
        <v>249</v>
      </c>
      <c r="B14" s="14" t="s">
        <v>232</v>
      </c>
      <c r="C14" s="14" t="s">
        <v>485</v>
      </c>
      <c r="D14" s="15" t="s">
        <v>39</v>
      </c>
      <c r="E14" s="14" t="s">
        <v>465</v>
      </c>
      <c r="F14" s="14" t="s">
        <v>466</v>
      </c>
      <c r="G14" s="14" t="s">
        <v>486</v>
      </c>
    </row>
    <row r="15" customFormat="false" ht="15" hidden="false" customHeight="false" outlineLevel="0" collapsed="false">
      <c r="A15" s="14" t="s">
        <v>367</v>
      </c>
      <c r="B15" s="14" t="s">
        <v>318</v>
      </c>
      <c r="C15" s="14" t="s">
        <v>487</v>
      </c>
      <c r="D15" s="15" t="s">
        <v>39</v>
      </c>
      <c r="E15" s="14" t="s">
        <v>488</v>
      </c>
      <c r="F15" s="14" t="s">
        <v>445</v>
      </c>
      <c r="G15" s="14" t="s">
        <v>489</v>
      </c>
    </row>
    <row r="16" customFormat="false" ht="15" hidden="false" customHeight="false" outlineLevel="0" collapsed="false">
      <c r="A16" s="14" t="s">
        <v>326</v>
      </c>
      <c r="B16" s="14" t="s">
        <v>318</v>
      </c>
      <c r="C16" s="14" t="s">
        <v>490</v>
      </c>
      <c r="D16" s="15" t="s">
        <v>55</v>
      </c>
      <c r="E16" s="14" t="s">
        <v>465</v>
      </c>
      <c r="F16" s="14" t="s">
        <v>483</v>
      </c>
      <c r="G16" s="14" t="s">
        <v>491</v>
      </c>
    </row>
    <row r="17" customFormat="false" ht="15" hidden="false" customHeight="false" outlineLevel="0" collapsed="false">
      <c r="A17" s="14" t="s">
        <v>334</v>
      </c>
      <c r="B17" s="14" t="s">
        <v>318</v>
      </c>
      <c r="C17" s="14" t="s">
        <v>492</v>
      </c>
      <c r="D17" s="15" t="s">
        <v>43</v>
      </c>
      <c r="E17" s="14" t="s">
        <v>465</v>
      </c>
      <c r="F17" s="14" t="s">
        <v>493</v>
      </c>
      <c r="G17" s="14" t="s">
        <v>494</v>
      </c>
    </row>
    <row r="18" customFormat="false" ht="15" hidden="false" customHeight="false" outlineLevel="0" collapsed="false">
      <c r="A18" s="14" t="s">
        <v>340</v>
      </c>
      <c r="B18" s="14" t="s">
        <v>318</v>
      </c>
      <c r="C18" s="14" t="s">
        <v>485</v>
      </c>
      <c r="D18" s="15" t="s">
        <v>43</v>
      </c>
      <c r="E18" s="14" t="s">
        <v>465</v>
      </c>
      <c r="F18" s="14" t="s">
        <v>466</v>
      </c>
      <c r="G18" s="14" t="s">
        <v>495</v>
      </c>
    </row>
    <row r="19" customFormat="false" ht="15" hidden="false" customHeight="false" outlineLevel="0" collapsed="false">
      <c r="A19" s="14" t="s">
        <v>322</v>
      </c>
      <c r="B19" s="14" t="s">
        <v>318</v>
      </c>
      <c r="C19" s="14" t="s">
        <v>496</v>
      </c>
      <c r="D19" s="15" t="s">
        <v>41</v>
      </c>
      <c r="E19" s="14" t="s">
        <v>465</v>
      </c>
      <c r="F19" s="14" t="s">
        <v>466</v>
      </c>
      <c r="G19" s="14" t="s">
        <v>497</v>
      </c>
    </row>
    <row r="20" customFormat="false" ht="15" hidden="false" customHeight="false" outlineLevel="0" collapsed="false">
      <c r="A20" s="14" t="s">
        <v>362</v>
      </c>
      <c r="B20" s="14" t="s">
        <v>318</v>
      </c>
      <c r="C20" s="14" t="s">
        <v>498</v>
      </c>
      <c r="D20" s="15" t="s">
        <v>39</v>
      </c>
      <c r="E20" s="14" t="s">
        <v>465</v>
      </c>
      <c r="F20" s="14" t="s">
        <v>466</v>
      </c>
      <c r="G20" s="14" t="s">
        <v>499</v>
      </c>
    </row>
    <row r="22" customFormat="false" ht="45" hidden="false" customHeight="true" outlineLevel="0" collapsed="false">
      <c r="A22" s="10" t="s">
        <v>500</v>
      </c>
      <c r="C22" s="16" t="s">
        <v>501</v>
      </c>
      <c r="D22" s="16"/>
      <c r="E22" s="16"/>
      <c r="F22" s="16"/>
      <c r="G22" s="16"/>
    </row>
  </sheetData>
  <autoFilter ref="A1:G20"/>
  <mergeCells count="1">
    <mergeCell ref="C22:G22"/>
  </mergeCells>
  <conditionalFormatting sqref="D2:D20">
    <cfRule type="cellIs" priority="2" operator="equal" aboveAverage="0" equalAverage="0" bottom="0" percent="0" rank="0" text="" dxfId="14">
      <formula>"Reject"</formula>
    </cfRule>
    <cfRule type="cellIs" priority="3" operator="equal" aboveAverage="0" equalAverage="0" bottom="0" percent="0" rank="0" text="" dxfId="15">
      <formula>"Reject (cascade)"</formula>
    </cfRule>
    <cfRule type="cellIs" priority="4" operator="equal" aboveAverage="0" equalAverage="0" bottom="0" percent="0" rank="0" text="" dxfId="9">
      <formula>"Fix"</formula>
    </cfRule>
    <cfRule type="cellIs" priority="5" operator="equal" aboveAverage="0" equalAverage="0" bottom="0" percent="0" rank="0" text="" dxfId="11">
      <formula>"Flag"</formula>
    </cfRule>
  </conditionalFormatting>
  <dataValidations count="1">
    <dataValidation allowBlank="true" errorStyle="stop" operator="between" showDropDown="false" showErrorMessage="false" showInputMessage="false" sqref="D2:D20" type="list">
      <formula1>"Reject,Reject (cascade),Fix,Flag"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11"/>
  </cols>
  <sheetData>
    <row r="1" customFormat="false" ht="30" hidden="false" customHeight="true" outlineLevel="0" collapsed="false">
      <c r="A1" s="13" t="s">
        <v>502</v>
      </c>
      <c r="B1" s="13" t="s">
        <v>503</v>
      </c>
      <c r="C1" s="13" t="s">
        <v>504</v>
      </c>
      <c r="D1" s="13" t="s">
        <v>505</v>
      </c>
      <c r="E1" s="13" t="s">
        <v>63</v>
      </c>
    </row>
    <row r="2" customFormat="false" ht="23.85" hidden="false" customHeight="false" outlineLevel="0" collapsed="false">
      <c r="A2" s="14" t="s">
        <v>506</v>
      </c>
      <c r="B2" s="14" t="s">
        <v>507</v>
      </c>
      <c r="C2" s="15" t="s">
        <v>508</v>
      </c>
      <c r="D2" s="15" t="s">
        <v>10</v>
      </c>
      <c r="E2" s="15" t="s">
        <v>509</v>
      </c>
    </row>
    <row r="3" customFormat="false" ht="23.85" hidden="false" customHeight="false" outlineLevel="0" collapsed="false">
      <c r="A3" s="14" t="s">
        <v>510</v>
      </c>
      <c r="B3" s="14" t="s">
        <v>511</v>
      </c>
      <c r="C3" s="15" t="s">
        <v>512</v>
      </c>
      <c r="D3" s="15" t="s">
        <v>10</v>
      </c>
      <c r="E3" s="15" t="s">
        <v>513</v>
      </c>
    </row>
    <row r="4" customFormat="false" ht="15" hidden="false" customHeight="false" outlineLevel="0" collapsed="false">
      <c r="A4" s="14" t="s">
        <v>514</v>
      </c>
      <c r="B4" s="14" t="s">
        <v>515</v>
      </c>
      <c r="C4" s="15" t="s">
        <v>516</v>
      </c>
      <c r="D4" s="15" t="s">
        <v>10</v>
      </c>
      <c r="E4" s="15" t="s">
        <v>509</v>
      </c>
    </row>
    <row r="5" customFormat="false" ht="15" hidden="false" customHeight="false" outlineLevel="0" collapsed="false">
      <c r="A5" s="14" t="s">
        <v>517</v>
      </c>
      <c r="B5" s="14" t="s">
        <v>518</v>
      </c>
      <c r="C5" s="15" t="s">
        <v>519</v>
      </c>
      <c r="D5" s="15" t="s">
        <v>10</v>
      </c>
      <c r="E5" s="15" t="s">
        <v>509</v>
      </c>
    </row>
    <row r="6" customFormat="false" ht="15" hidden="false" customHeight="false" outlineLevel="0" collapsed="false">
      <c r="A6" s="14" t="s">
        <v>520</v>
      </c>
      <c r="B6" s="14" t="s">
        <v>521</v>
      </c>
      <c r="C6" s="15" t="s">
        <v>522</v>
      </c>
      <c r="D6" s="15" t="s">
        <v>10</v>
      </c>
      <c r="E6" s="15" t="s">
        <v>509</v>
      </c>
    </row>
    <row r="7" customFormat="false" ht="15" hidden="false" customHeight="false" outlineLevel="0" collapsed="false">
      <c r="A7" s="14" t="s">
        <v>523</v>
      </c>
      <c r="B7" s="14" t="s">
        <v>524</v>
      </c>
      <c r="C7" s="15" t="s">
        <v>525</v>
      </c>
      <c r="D7" s="15" t="s">
        <v>10</v>
      </c>
      <c r="E7" s="15" t="s">
        <v>513</v>
      </c>
    </row>
    <row r="8" customFormat="false" ht="23.85" hidden="false" customHeight="false" outlineLevel="0" collapsed="false">
      <c r="A8" s="14" t="s">
        <v>526</v>
      </c>
      <c r="B8" s="14" t="s">
        <v>527</v>
      </c>
      <c r="C8" s="15" t="s">
        <v>528</v>
      </c>
      <c r="D8" s="15" t="s">
        <v>10</v>
      </c>
      <c r="E8" s="15" t="s">
        <v>509</v>
      </c>
    </row>
  </sheetData>
  <autoFilter ref="A1:E8"/>
  <dataValidations count="1">
    <dataValidation allowBlank="true" errorStyle="stop" operator="between" showDropDown="false" showErrorMessage="false" showInputMessage="false" sqref="E2:E28" type="list">
      <formula1>"Open,Decided"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2026-10-15T03:18:19Z</dcterms:created>
  <dc:creator>openpyxl</dc:creator>
  <dc:description/>
  <dc:language>en-US</dc:language>
  <cp:lastModifiedBy/>
  <dcterms:modified xsi:type="dcterms:W3CDTF">2026-10-15T03:18:19Z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